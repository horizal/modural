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6" documentId="8_{DA9C3988-16BF-4C36-AACD-921BF7DB4B02}" xr6:coauthVersionLast="47" xr6:coauthVersionMax="47" xr10:uidLastSave="{EA8AF490-4D65-429A-9681-E756344F38D0}"/>
  <bookViews>
    <workbookView xWindow="-1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C64" i="2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C15" i="3" l="1"/>
  <c r="G107" i="3"/>
  <c r="C14" i="3"/>
  <c r="H1" i="5"/>
  <c r="F1" i="5"/>
  <c r="I3" i="5" s="1"/>
  <c r="D66" i="3" l="1"/>
  <c r="F84" i="3"/>
  <c r="G95" i="3"/>
  <c r="G101" i="3"/>
  <c r="I1" i="5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U150" i="3" l="1"/>
  <c r="O150" i="3" s="1"/>
  <c r="H139" i="3" s="1"/>
  <c r="H149" i="3" s="1"/>
  <c r="C151" i="3" l="1"/>
  <c r="H150" i="3"/>
  <c r="H151" i="3" s="1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<sst xmlns="http://schemas.openxmlformats.org/spreadsheetml/2006/main" count="719" uniqueCount="243">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</sst>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93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6" fillId="0" borderId="3" xfId="2" applyBorder="1" applyAlignment="1" applyProtection="1">
      <alignment horizontal="left"/>
      <protection locked="0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32" fillId="0" borderId="0" xfId="0" applyFont="1"/>
    <xf numFmtId="0" fontId="4" fillId="4" borderId="1" xfId="1" applyFill="1" applyBorder="1" applyAlignment="1" applyProtection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8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8" fillId="0" borderId="5" xfId="2" applyFont="1" applyBorder="1" applyAlignment="1" applyProtection="1">
      <alignment horizontal="center" vertical="top" wrapText="1"/>
      <protection locked="0"/>
    </xf>
    <xf numFmtId="0" fontId="8" fillId="0" borderId="5" xfId="2" applyFont="1" applyBorder="1" applyAlignment="1">
      <alignment horizontal="center" vertical="top" wrapText="1"/>
    </xf>
    <xf numFmtId="0" fontId="8" fillId="0" borderId="6" xfId="2" applyFont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14" fillId="0" borderId="0" xfId="0" applyFont="1" applyAlignment="1" applyProtection="1">
      <alignment horizontal="left" vertical="center" wrapText="1" indent="2"/>
    </xf>
    <xf numFmtId="0" fontId="0" fillId="0" borderId="0" xfId="0" applyProtection="1"/>
    <xf numFmtId="0" fontId="16" fillId="0" borderId="0" xfId="0" applyFont="1" applyAlignment="1" applyProtection="1">
      <alignment horizontal="left" vertical="center" wrapText="1" indent="2"/>
    </xf>
    <xf numFmtId="0" fontId="0" fillId="0" borderId="0" xfId="0" applyAlignment="1" applyProtection="1">
      <alignment vertical="top"/>
    </xf>
    <xf numFmtId="0" fontId="0" fillId="4" borderId="1" xfId="0" applyFill="1" applyBorder="1" applyAlignment="1" applyProtection="1">
      <alignment horizontal="left"/>
    </xf>
    <xf numFmtId="14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4" borderId="2" xfId="0" applyFill="1" applyBorder="1" applyAlignment="1" applyProtection="1">
      <alignment horizontal="left"/>
    </xf>
    <xf numFmtId="0" fontId="0" fillId="4" borderId="3" xfId="0" applyFill="1" applyBorder="1" applyAlignment="1" applyProtection="1">
      <alignment horizontal="left"/>
    </xf>
    <xf numFmtId="0" fontId="0" fillId="4" borderId="4" xfId="0" applyFill="1" applyBorder="1" applyAlignment="1" applyProtection="1">
      <alignment horizontal="left"/>
    </xf>
    <xf numFmtId="0" fontId="5" fillId="3" borderId="0" xfId="0" applyFont="1" applyFill="1" applyAlignment="1" applyProtection="1">
      <alignment horizontal="left"/>
    </xf>
    <xf numFmtId="49" fontId="0" fillId="3" borderId="0" xfId="0" applyNumberFormat="1" applyFill="1" applyAlignment="1" applyProtection="1">
      <alignment horizontal="left"/>
    </xf>
    <xf numFmtId="169" fontId="0" fillId="4" borderId="1" xfId="0" applyNumberFormat="1" applyFill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0" fontId="16" fillId="0" borderId="0" xfId="0" applyFont="1" applyProtection="1"/>
    <xf numFmtId="2" fontId="0" fillId="0" borderId="0" xfId="0" applyNumberFormat="1" applyProtection="1"/>
    <xf numFmtId="0" fontId="26" fillId="0" borderId="0" xfId="0" applyFont="1" applyProtection="1"/>
    <xf numFmtId="0" fontId="3" fillId="0" borderId="0" xfId="0" applyFont="1" applyProtection="1"/>
    <xf numFmtId="0" fontId="2" fillId="4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Protection="1"/>
    <xf numFmtId="0" fontId="1" fillId="0" borderId="1" xfId="0" applyFont="1" applyBorder="1" applyAlignment="1" applyProtection="1">
      <alignment horizontal="center" vertical="center"/>
    </xf>
    <xf numFmtId="49" fontId="0" fillId="0" borderId="0" xfId="0" applyNumberFormat="1" applyProtection="1"/>
    <xf numFmtId="0" fontId="0" fillId="0" borderId="1" xfId="0" applyBorder="1" applyAlignment="1" applyProtection="1">
      <alignment horizontal="left" vertical="center"/>
    </xf>
    <xf numFmtId="0" fontId="5" fillId="0" borderId="0" xfId="0" applyFont="1" applyProtection="1"/>
    <xf numFmtId="0" fontId="0" fillId="2" borderId="1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21083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1046817</xdr:colOff>
      <xdr:row>73</xdr:row>
      <xdr:rowOff>591942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1047416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744109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704406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1202864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593774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59659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474592</xdr:colOff>
      <xdr:row>14</xdr:row>
      <xdr:rowOff>96655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15791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591024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704563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704563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625026</xdr:colOff>
      <xdr:row>80</xdr:row>
      <xdr:rowOff>854230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593219</xdr:colOff>
      <xdr:row>83</xdr:row>
      <xdr:rowOff>854230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586925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285402</xdr:colOff>
      <xdr:row>46</xdr:row>
      <xdr:rowOff>132146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479020</xdr:colOff>
      <xdr:row>46</xdr:row>
      <xdr:rowOff>172289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95489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780899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474345</xdr:colOff>
      <xdr:row>41</xdr:row>
      <xdr:rowOff>56813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820757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1047484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1012597</xdr:colOff>
      <xdr:row>80</xdr:row>
      <xdr:rowOff>899015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0</xdr:row>
          <xdr:rowOff>106680</xdr:rowOff>
        </xdr:from>
        <xdr:to>
          <xdr:col>11</xdr:col>
          <xdr:colOff>1775460</xdr:colOff>
          <xdr:row>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209550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81</xdr:row>
      <xdr:rowOff>2287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122</xdr:row>
      <xdr:rowOff>43961</xdr:rowOff>
    </xdr:from>
    <xdr:to>
      <xdr:col>1</xdr:col>
      <xdr:colOff>513130</xdr:colOff>
      <xdr:row>126</xdr:row>
      <xdr:rowOff>134832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243840</xdr:colOff>
      <xdr:row>139</xdr:row>
      <xdr:rowOff>3076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628037</xdr:colOff>
      <xdr:row>70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439959</xdr:colOff>
      <xdr:row>86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626060</xdr:colOff>
      <xdr:row>97</xdr:row>
      <xdr:rowOff>15240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91440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17600</xdr:colOff>
      <xdr:row>103</xdr:row>
      <xdr:rowOff>20955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628319</xdr:colOff>
      <xdr:row>104</xdr:row>
      <xdr:rowOff>1906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320040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92921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551710</xdr:colOff>
      <xdr:row>121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141</xdr:row>
      <xdr:rowOff>124558</xdr:rowOff>
    </xdr:from>
    <xdr:to>
      <xdr:col>1</xdr:col>
      <xdr:colOff>323703</xdr:colOff>
      <xdr:row>145</xdr:row>
      <xdr:rowOff>56417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frederictarel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12" sqref="L12"/>
    </sheetView>
  </sheetViews>
  <sheetFormatPr baseColWidth="10" defaultRowHeight="14.4" x14ac:dyDescent="0.3"/>
  <cols>
    <col min="1" max="1" width="14.88671875" style="161" customWidth="1"/>
    <col min="2" max="2" width="18.44140625" style="161" customWidth="1"/>
    <col min="3" max="6" width="11.5546875" style="161"/>
    <col min="7" max="7" width="16" style="161" bestFit="1" customWidth="1"/>
    <col min="8" max="11" width="11.5546875" style="161"/>
    <col min="12" max="12" width="41.88671875" style="161" customWidth="1"/>
    <col min="13" max="14" width="11.5546875" style="161"/>
    <col min="15" max="15" width="13.33203125" style="161" bestFit="1" customWidth="1"/>
    <col min="16" max="18" width="11.5546875" style="161"/>
    <col min="19" max="19" width="21.109375" style="161" customWidth="1"/>
    <col min="20" max="16384" width="11.5546875" style="161"/>
  </cols>
  <sheetData>
    <row r="7" spans="12:12" ht="15" customHeight="1" x14ac:dyDescent="0.3">
      <c r="L7" s="189" t="s">
        <v>209</v>
      </c>
    </row>
    <row r="8" spans="12:12" ht="15" customHeight="1" x14ac:dyDescent="0.3">
      <c r="L8" s="190">
        <v>5010</v>
      </c>
    </row>
    <row r="9" spans="12:12" x14ac:dyDescent="0.3">
      <c r="L9" s="191"/>
    </row>
    <row r="10" spans="12:12" ht="39.75" customHeight="1" x14ac:dyDescent="0.3">
      <c r="L10" s="189" t="s">
        <v>235</v>
      </c>
    </row>
    <row r="11" spans="12:12" ht="15" customHeight="1" x14ac:dyDescent="0.3">
      <c r="L11" s="190" t="s">
        <v>236</v>
      </c>
    </row>
    <row r="12" spans="12:12" x14ac:dyDescent="0.3">
      <c r="L12" s="191"/>
    </row>
    <row r="13" spans="12:12" ht="15" customHeight="1" x14ac:dyDescent="0.3">
      <c r="L13" s="189">
        <v>95970</v>
      </c>
    </row>
    <row r="14" spans="12:12" ht="15" customHeight="1" x14ac:dyDescent="0.3">
      <c r="L14" s="190">
        <v>1</v>
      </c>
    </row>
    <row r="15" spans="12:12" x14ac:dyDescent="0.3">
      <c r="L15" s="191"/>
    </row>
    <row r="16" spans="12:12" ht="15" customHeight="1" x14ac:dyDescent="0.3">
      <c r="L16" s="189">
        <v>95974</v>
      </c>
    </row>
    <row r="17" spans="1:16" ht="15" customHeight="1" x14ac:dyDescent="0.3">
      <c r="L17" s="190">
        <v>4</v>
      </c>
    </row>
    <row r="18" spans="1:16" x14ac:dyDescent="0.3">
      <c r="A18" s="161" t="s">
        <v>5</v>
      </c>
      <c r="D18" s="164" t="str">
        <f>$L$38</f>
        <v xml:space="preserve">toto </v>
      </c>
      <c r="E18" s="164"/>
      <c r="F18" s="164"/>
      <c r="G18" s="164"/>
      <c r="L18" s="191"/>
    </row>
    <row r="19" spans="1:16" ht="15" customHeight="1" x14ac:dyDescent="0.3">
      <c r="A19" s="161" t="s">
        <v>8</v>
      </c>
      <c r="D19" s="165">
        <f ca="1">TODAY()</f>
        <v>44936</v>
      </c>
      <c r="E19" s="166"/>
      <c r="F19" s="166"/>
      <c r="G19" s="166"/>
      <c r="L19" s="189">
        <v>95975</v>
      </c>
    </row>
    <row r="20" spans="1:16" ht="15" customHeight="1" x14ac:dyDescent="0.3">
      <c r="L20" s="190">
        <v>5</v>
      </c>
    </row>
    <row r="21" spans="1:16" x14ac:dyDescent="0.3">
      <c r="L21" s="191"/>
    </row>
    <row r="22" spans="1:16" ht="15" customHeight="1" x14ac:dyDescent="0.3">
      <c r="A22" s="161" t="s">
        <v>7</v>
      </c>
      <c r="D22" s="164" t="str">
        <f>$L$41</f>
        <v xml:space="preserve">horizal </v>
      </c>
      <c r="E22" s="164"/>
      <c r="F22" s="164"/>
      <c r="G22" s="164"/>
      <c r="L22" s="189">
        <v>95976</v>
      </c>
    </row>
    <row r="23" spans="1:16" ht="15" customHeight="1" x14ac:dyDescent="0.3">
      <c r="A23" s="161" t="s">
        <v>6</v>
      </c>
      <c r="D23" s="164" t="str">
        <f>$L$44</f>
        <v xml:space="preserve">174 route de lyon </v>
      </c>
      <c r="E23" s="164"/>
      <c r="F23" s="164"/>
      <c r="G23" s="164"/>
      <c r="L23" s="190">
        <v>6</v>
      </c>
    </row>
    <row r="24" spans="1:16" x14ac:dyDescent="0.3">
      <c r="A24" s="161" t="s">
        <v>72</v>
      </c>
      <c r="D24" s="164">
        <f>$L$47</f>
        <v>12000</v>
      </c>
      <c r="E24" s="164"/>
      <c r="F24" s="164"/>
      <c r="G24" s="164"/>
      <c r="L24" s="191"/>
    </row>
    <row r="25" spans="1:16" ht="15" customHeight="1" x14ac:dyDescent="0.3">
      <c r="A25" s="161" t="s">
        <v>60</v>
      </c>
      <c r="D25" s="167" t="str">
        <f>$L$50</f>
        <v xml:space="preserve">bourgoin jallieu </v>
      </c>
      <c r="E25" s="168"/>
      <c r="F25" s="168"/>
      <c r="G25" s="169"/>
      <c r="L25" s="189">
        <v>95973</v>
      </c>
    </row>
    <row r="26" spans="1:16" ht="15" customHeight="1" x14ac:dyDescent="0.3">
      <c r="A26" s="161" t="s">
        <v>46</v>
      </c>
      <c r="D26" s="164" t="str">
        <f>$L$53</f>
        <v xml:space="preserve">laurent </v>
      </c>
      <c r="E26" s="164"/>
      <c r="F26" s="164"/>
      <c r="G26" s="164"/>
      <c r="L26" s="190">
        <v>7</v>
      </c>
    </row>
    <row r="27" spans="1:16" x14ac:dyDescent="0.3">
      <c r="D27" s="170"/>
      <c r="E27" s="170"/>
      <c r="F27" s="170"/>
      <c r="G27" s="170"/>
      <c r="L27" s="191"/>
    </row>
    <row r="28" spans="1:16" ht="15" customHeight="1" x14ac:dyDescent="0.3">
      <c r="D28" s="171"/>
      <c r="E28" s="171"/>
      <c r="F28" s="171"/>
      <c r="G28" s="171"/>
      <c r="L28" s="189">
        <v>95978</v>
      </c>
    </row>
    <row r="29" spans="1:16" ht="15" customHeight="1" x14ac:dyDescent="0.3">
      <c r="A29" s="161" t="s">
        <v>10</v>
      </c>
      <c r="D29" s="172">
        <f>$L$56</f>
        <v>679704508</v>
      </c>
      <c r="E29" s="172"/>
      <c r="F29" s="172"/>
      <c r="G29" s="172"/>
      <c r="L29" s="190">
        <v>8</v>
      </c>
    </row>
    <row r="30" spans="1:16" ht="15" customHeight="1" x14ac:dyDescent="0.3">
      <c r="D30" s="173"/>
      <c r="E30" s="173"/>
      <c r="F30" s="173"/>
      <c r="G30" s="173"/>
      <c r="L30" s="191"/>
      <c r="P30" s="162"/>
    </row>
    <row r="31" spans="1:16" ht="15" customHeight="1" x14ac:dyDescent="0.3">
      <c r="L31" s="189">
        <v>95979</v>
      </c>
    </row>
    <row r="32" spans="1:16" ht="15" customHeight="1" x14ac:dyDescent="0.3">
      <c r="A32" s="161" t="s">
        <v>9</v>
      </c>
      <c r="D32" s="131" t="str">
        <f>$L$59</f>
        <v xml:space="preserve">laurentdelhorme@horizal.com </v>
      </c>
      <c r="E32" s="164"/>
      <c r="F32" s="164"/>
      <c r="G32" s="164"/>
      <c r="L32" s="190">
        <v>9</v>
      </c>
    </row>
    <row r="33" spans="9:17" x14ac:dyDescent="0.3">
      <c r="L33" s="191"/>
    </row>
    <row r="34" spans="9:17" ht="15" customHeight="1" x14ac:dyDescent="0.3">
      <c r="L34" s="189">
        <v>95977</v>
      </c>
    </row>
    <row r="35" spans="9:17" ht="15" customHeight="1" x14ac:dyDescent="0.3">
      <c r="L35" s="190">
        <v>10</v>
      </c>
    </row>
    <row r="36" spans="9:17" x14ac:dyDescent="0.3">
      <c r="L36" s="191"/>
    </row>
    <row r="37" spans="9:17" ht="15" customHeight="1" x14ac:dyDescent="0.3">
      <c r="I37" s="123"/>
      <c r="L37" s="189" t="s">
        <v>52</v>
      </c>
    </row>
    <row r="38" spans="9:17" ht="12" customHeight="1" x14ac:dyDescent="0.3">
      <c r="L38" s="190" t="s">
        <v>237</v>
      </c>
    </row>
    <row r="39" spans="9:17" ht="10.5" customHeight="1" x14ac:dyDescent="0.3">
      <c r="L39" s="191"/>
    </row>
    <row r="40" spans="9:17" ht="12.75" customHeight="1" x14ac:dyDescent="0.3">
      <c r="L40" s="189" t="s">
        <v>53</v>
      </c>
    </row>
    <row r="41" spans="9:17" ht="36" customHeight="1" x14ac:dyDescent="0.3">
      <c r="L41" s="190" t="s">
        <v>238</v>
      </c>
    </row>
    <row r="42" spans="9:17" x14ac:dyDescent="0.3">
      <c r="K42" s="123"/>
      <c r="L42" s="191"/>
    </row>
    <row r="43" spans="9:17" ht="12" customHeight="1" x14ac:dyDescent="0.4">
      <c r="L43" s="189" t="s">
        <v>54</v>
      </c>
      <c r="Q43" s="174"/>
    </row>
    <row r="44" spans="9:17" ht="11.25" customHeight="1" x14ac:dyDescent="0.3">
      <c r="L44" s="190" t="s">
        <v>239</v>
      </c>
    </row>
    <row r="45" spans="9:17" x14ac:dyDescent="0.3">
      <c r="L45" s="191"/>
    </row>
    <row r="46" spans="9:17" ht="15" customHeight="1" x14ac:dyDescent="0.3">
      <c r="L46" s="189" t="s">
        <v>55</v>
      </c>
    </row>
    <row r="47" spans="9:17" ht="15" customHeight="1" x14ac:dyDescent="0.3">
      <c r="L47" s="190">
        <v>12000</v>
      </c>
    </row>
    <row r="48" spans="9:17" ht="9.75" customHeight="1" x14ac:dyDescent="0.3">
      <c r="L48" s="191"/>
    </row>
    <row r="49" spans="1:16" ht="15" customHeight="1" x14ac:dyDescent="0.3">
      <c r="L49" s="189" t="s">
        <v>56</v>
      </c>
    </row>
    <row r="50" spans="1:16" ht="15" customHeight="1" x14ac:dyDescent="0.3">
      <c r="L50" s="190" t="s">
        <v>240</v>
      </c>
      <c r="N50" s="175"/>
    </row>
    <row r="51" spans="1:16" ht="15.75" customHeight="1" x14ac:dyDescent="0.4">
      <c r="L51" s="191"/>
      <c r="P51" s="174"/>
    </row>
    <row r="52" spans="1:16" ht="15" customHeight="1" x14ac:dyDescent="0.3">
      <c r="L52" s="189" t="s">
        <v>57</v>
      </c>
    </row>
    <row r="53" spans="1:16" ht="15" customHeight="1" x14ac:dyDescent="0.3">
      <c r="L53" s="190" t="s">
        <v>241</v>
      </c>
    </row>
    <row r="54" spans="1:16" x14ac:dyDescent="0.3">
      <c r="L54" s="191"/>
    </row>
    <row r="55" spans="1:16" ht="15" customHeight="1" x14ac:dyDescent="0.3">
      <c r="L55" s="189" t="s">
        <v>58</v>
      </c>
    </row>
    <row r="56" spans="1:16" ht="15" customHeight="1" x14ac:dyDescent="0.3">
      <c r="L56" s="190">
        <v>679704508</v>
      </c>
    </row>
    <row r="57" spans="1:16" x14ac:dyDescent="0.3">
      <c r="L57" s="191"/>
    </row>
    <row r="58" spans="1:16" ht="15.6" x14ac:dyDescent="0.3">
      <c r="L58" s="189" t="s">
        <v>59</v>
      </c>
    </row>
    <row r="59" spans="1:16" ht="15" customHeight="1" x14ac:dyDescent="0.3">
      <c r="L59" s="192" t="s">
        <v>242</v>
      </c>
    </row>
    <row r="60" spans="1:16" x14ac:dyDescent="0.3">
      <c r="L60" s="124"/>
    </row>
    <row r="61" spans="1:16" x14ac:dyDescent="0.3">
      <c r="L61" s="125"/>
    </row>
    <row r="62" spans="1:16" x14ac:dyDescent="0.3">
      <c r="A62" s="161" t="s">
        <v>108</v>
      </c>
      <c r="C62" s="161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Frédéric TAREL</v>
      </c>
      <c r="L62" s="124"/>
    </row>
    <row r="63" spans="1:16" x14ac:dyDescent="0.3">
      <c r="A63" s="161" t="s">
        <v>110</v>
      </c>
      <c r="C63" s="161" t="str">
        <f>IF(LEFT($L$47,2)&lt;&gt;"75",VLOOKUP(LEFT(L$47,2),'Département Commerciaux'!A$4:$G$120,6,TRUE),VLOOKUP(L$47,'Département Commerciaux'!$A$4:$G$120,6,TRUE))</f>
        <v>06.11.11.22.17</v>
      </c>
      <c r="L63" s="124"/>
    </row>
    <row r="64" spans="1:16" x14ac:dyDescent="0.3">
      <c r="A64" s="161" t="s">
        <v>109</v>
      </c>
      <c r="C64" s="161" t="str">
        <f>IF(LEFT($L$47,2)&lt;&gt;"75",VLOOKUP(LEFT(L$47,2),'Département Commerciaux'!A$4:$G$120,7,TRUE),VLOOKUP(L$47,'Département Commerciaux'!$A$4:$G$120,7,TRUE))</f>
        <v>frederictarel@horizal.com</v>
      </c>
      <c r="L64" s="124"/>
    </row>
    <row r="65" spans="1:17" x14ac:dyDescent="0.3">
      <c r="L65" s="124"/>
    </row>
    <row r="66" spans="1:17" x14ac:dyDescent="0.3">
      <c r="L66" s="124"/>
    </row>
    <row r="67" spans="1:17" x14ac:dyDescent="0.3">
      <c r="A67" s="176" t="s">
        <v>210</v>
      </c>
      <c r="C67" s="161" t="str">
        <f>$L$8&amp;" "&amp;$L$11</f>
        <v xml:space="preserve">5010 Mat </v>
      </c>
      <c r="L67" s="124"/>
    </row>
    <row r="68" spans="1:17" x14ac:dyDescent="0.3">
      <c r="A68" s="177"/>
      <c r="B68" s="177"/>
    </row>
    <row r="69" spans="1:17" x14ac:dyDescent="0.3">
      <c r="A69" s="177"/>
      <c r="B69" s="177"/>
    </row>
    <row r="70" spans="1:17" x14ac:dyDescent="0.3">
      <c r="A70" s="178" t="s">
        <v>11</v>
      </c>
      <c r="B70" s="178"/>
      <c r="C70" s="178"/>
    </row>
    <row r="71" spans="1:17" x14ac:dyDescent="0.3">
      <c r="A71" s="179" t="s">
        <v>0</v>
      </c>
      <c r="B71" s="180"/>
      <c r="C71" s="181" t="s">
        <v>1</v>
      </c>
      <c r="L71" s="182"/>
      <c r="M71" s="126"/>
      <c r="N71" s="182"/>
      <c r="O71" s="182"/>
      <c r="P71" s="182"/>
      <c r="Q71" s="182"/>
    </row>
    <row r="72" spans="1:17" ht="80.099999999999994" customHeight="1" x14ac:dyDescent="0.3">
      <c r="A72" s="183">
        <v>95970</v>
      </c>
      <c r="B72" s="180"/>
      <c r="C72" s="179">
        <f>$L$14</f>
        <v>1</v>
      </c>
      <c r="G72" s="160"/>
      <c r="H72" s="184">
        <f>C72*1468</f>
        <v>1468</v>
      </c>
      <c r="K72" s="160"/>
      <c r="L72" s="127"/>
      <c r="M72" s="126"/>
      <c r="N72" s="182"/>
      <c r="O72" s="182"/>
      <c r="P72" s="182"/>
      <c r="Q72" s="182"/>
    </row>
    <row r="73" spans="1:17" ht="80.099999999999994" customHeight="1" x14ac:dyDescent="0.3">
      <c r="A73" s="183">
        <v>95971</v>
      </c>
      <c r="B73" s="180"/>
      <c r="C73" s="185">
        <f>C72*3</f>
        <v>3</v>
      </c>
      <c r="G73" s="162"/>
      <c r="H73" s="184"/>
      <c r="K73" s="162"/>
      <c r="L73" s="182"/>
      <c r="M73" s="126"/>
      <c r="N73" s="182"/>
      <c r="O73" s="182"/>
      <c r="P73" s="182"/>
      <c r="Q73" s="182"/>
    </row>
    <row r="74" spans="1:17" ht="80.099999999999994" customHeight="1" x14ac:dyDescent="0.3">
      <c r="A74" s="183">
        <v>95972</v>
      </c>
      <c r="B74" s="180"/>
      <c r="C74" s="185">
        <f>IF((1473*C72)&lt;6500,1,ROUNDUP(H72/6500,0))</f>
        <v>1</v>
      </c>
      <c r="G74" s="163"/>
      <c r="H74" s="184">
        <f>C74*6500</f>
        <v>6500</v>
      </c>
      <c r="J74" s="186"/>
      <c r="K74" s="163"/>
      <c r="L74" s="182"/>
      <c r="M74" s="126"/>
      <c r="N74" s="182"/>
      <c r="O74" s="182"/>
      <c r="P74" s="182"/>
      <c r="Q74" s="182"/>
    </row>
    <row r="75" spans="1:17" ht="20.100000000000001" customHeight="1" x14ac:dyDescent="0.3">
      <c r="A75" s="178" t="s">
        <v>2</v>
      </c>
      <c r="B75" s="178"/>
      <c r="C75" s="178"/>
      <c r="G75" s="160"/>
      <c r="K75" s="160"/>
      <c r="L75" s="182"/>
      <c r="M75" s="126"/>
      <c r="N75" s="182"/>
      <c r="O75" s="182"/>
      <c r="P75" s="182"/>
      <c r="Q75" s="182"/>
    </row>
    <row r="76" spans="1:17" ht="82.5" customHeight="1" x14ac:dyDescent="0.3">
      <c r="A76" s="183">
        <v>95974</v>
      </c>
      <c r="B76" s="180"/>
      <c r="C76" s="179">
        <f>$L$17</f>
        <v>4</v>
      </c>
      <c r="G76" s="162"/>
      <c r="K76" s="162"/>
      <c r="L76" s="182"/>
      <c r="M76" s="126"/>
      <c r="N76" s="182"/>
      <c r="O76" s="182"/>
      <c r="P76" s="182"/>
      <c r="Q76" s="182"/>
    </row>
    <row r="77" spans="1:17" ht="79.5" customHeight="1" x14ac:dyDescent="0.3">
      <c r="A77" s="183">
        <v>95975</v>
      </c>
      <c r="B77" s="180"/>
      <c r="C77" s="179">
        <f>$L$20</f>
        <v>5</v>
      </c>
      <c r="G77" s="163"/>
      <c r="K77" s="163"/>
      <c r="L77" s="182"/>
      <c r="M77" s="126"/>
      <c r="N77" s="182"/>
      <c r="O77" s="182"/>
      <c r="P77" s="182"/>
      <c r="Q77" s="182"/>
    </row>
    <row r="78" spans="1:17" ht="84" customHeight="1" x14ac:dyDescent="0.3">
      <c r="A78" s="183">
        <v>95976</v>
      </c>
      <c r="B78" s="180"/>
      <c r="C78" s="179">
        <f>$L$23</f>
        <v>6</v>
      </c>
      <c r="G78" s="160"/>
      <c r="K78" s="160"/>
      <c r="L78" s="182"/>
      <c r="M78" s="126"/>
      <c r="N78" s="182"/>
      <c r="O78" s="182"/>
      <c r="P78" s="182"/>
      <c r="Q78" s="182"/>
    </row>
    <row r="79" spans="1:17" ht="31.5" customHeight="1" x14ac:dyDescent="0.3">
      <c r="A79" s="187"/>
      <c r="C79" s="188"/>
      <c r="G79" s="162"/>
      <c r="K79" s="163"/>
    </row>
    <row r="80" spans="1:17" ht="20.100000000000001" customHeight="1" x14ac:dyDescent="0.3">
      <c r="A80" s="178" t="s">
        <v>3</v>
      </c>
      <c r="B80" s="178"/>
      <c r="C80" s="178"/>
      <c r="G80" s="163"/>
      <c r="K80" s="163"/>
    </row>
    <row r="81" spans="1:11" ht="80.099999999999994" customHeight="1" x14ac:dyDescent="0.3">
      <c r="A81" s="183">
        <v>95973</v>
      </c>
      <c r="B81" s="180"/>
      <c r="C81" s="179">
        <f>$L$26</f>
        <v>7</v>
      </c>
      <c r="G81" s="160"/>
      <c r="K81" s="160"/>
    </row>
    <row r="82" spans="1:11" ht="20.100000000000001" customHeight="1" x14ac:dyDescent="0.3">
      <c r="A82" s="178" t="s">
        <v>4</v>
      </c>
      <c r="B82" s="178"/>
      <c r="C82" s="178"/>
      <c r="G82" s="162"/>
      <c r="K82" s="162"/>
    </row>
    <row r="83" spans="1:11" ht="80.099999999999994" customHeight="1" x14ac:dyDescent="0.3">
      <c r="A83" s="183">
        <v>95978</v>
      </c>
      <c r="B83" s="180"/>
      <c r="C83" s="179">
        <f>$L$29</f>
        <v>8</v>
      </c>
      <c r="G83" s="163"/>
      <c r="K83" s="163"/>
    </row>
    <row r="84" spans="1:11" ht="80.099999999999994" customHeight="1" x14ac:dyDescent="0.3">
      <c r="A84" s="183">
        <v>95979</v>
      </c>
      <c r="B84" s="180"/>
      <c r="C84" s="179">
        <f>$L$32</f>
        <v>9</v>
      </c>
      <c r="G84" s="160"/>
      <c r="K84" s="160"/>
    </row>
    <row r="85" spans="1:11" ht="80.099999999999994" customHeight="1" x14ac:dyDescent="0.3">
      <c r="A85" s="183">
        <v>95977</v>
      </c>
      <c r="B85" s="180"/>
      <c r="C85" s="179">
        <f>$L$35</f>
        <v>10</v>
      </c>
      <c r="G85" s="162"/>
      <c r="K85" s="162"/>
    </row>
    <row r="86" spans="1:11" ht="99.9" customHeight="1" x14ac:dyDescent="0.3">
      <c r="G86" s="163"/>
      <c r="K86" s="163"/>
    </row>
    <row r="87" spans="1:11" ht="99.9" customHeight="1" x14ac:dyDescent="0.3">
      <c r="G87" s="160"/>
      <c r="K87" s="160"/>
    </row>
    <row r="88" spans="1:11" ht="99.9" customHeight="1" x14ac:dyDescent="0.3">
      <c r="G88" s="162"/>
      <c r="K88" s="162"/>
    </row>
    <row r="89" spans="1:11" ht="99.9" customHeight="1" x14ac:dyDescent="0.3">
      <c r="G89" s="163"/>
      <c r="K89" s="163"/>
    </row>
    <row r="90" spans="1:11" ht="99.9" customHeight="1" x14ac:dyDescent="0.3">
      <c r="G90" s="160"/>
      <c r="K90" s="160"/>
    </row>
    <row r="91" spans="1:11" ht="99.9" customHeight="1" x14ac:dyDescent="0.3">
      <c r="G91" s="162"/>
      <c r="K91" s="162"/>
    </row>
    <row r="92" spans="1:11" ht="99.9" customHeight="1" x14ac:dyDescent="0.3">
      <c r="G92" s="163"/>
      <c r="K92" s="163"/>
    </row>
    <row r="93" spans="1:11" ht="99.9" customHeight="1" x14ac:dyDescent="0.3">
      <c r="G93" s="160"/>
      <c r="K93" s="160"/>
    </row>
    <row r="94" spans="1:11" ht="99.9" customHeight="1" x14ac:dyDescent="0.3">
      <c r="G94" s="162"/>
      <c r="K94" s="162"/>
    </row>
    <row r="95" spans="1:11" ht="99.9" customHeight="1" x14ac:dyDescent="0.3">
      <c r="G95" s="163"/>
      <c r="K95" s="163"/>
    </row>
    <row r="96" spans="1:11" ht="99.9" customHeight="1" x14ac:dyDescent="0.3">
      <c r="G96" s="160"/>
      <c r="K96" s="160"/>
    </row>
    <row r="97" spans="7:11" ht="99.9" customHeight="1" x14ac:dyDescent="0.3">
      <c r="G97" s="162"/>
      <c r="K97" s="162"/>
    </row>
    <row r="98" spans="7:11" ht="99.9" customHeight="1" x14ac:dyDescent="0.3">
      <c r="G98" s="163"/>
      <c r="K98" s="163"/>
    </row>
    <row r="99" spans="7:11" ht="99.9" customHeight="1" x14ac:dyDescent="0.3">
      <c r="G99" s="160"/>
      <c r="K99" s="160"/>
    </row>
    <row r="100" spans="7:11" ht="99.9" customHeight="1" x14ac:dyDescent="0.3">
      <c r="G100" s="162"/>
      <c r="K100" s="162"/>
    </row>
    <row r="101" spans="7:11" ht="99.9" customHeight="1" x14ac:dyDescent="0.3">
      <c r="G101" s="163"/>
      <c r="K101" s="163"/>
    </row>
    <row r="102" spans="7:11" ht="99.9" customHeight="1" x14ac:dyDescent="0.3">
      <c r="G102" s="160"/>
      <c r="K102" s="160"/>
    </row>
    <row r="103" spans="7:11" ht="99.9" customHeight="1" x14ac:dyDescent="0.3">
      <c r="G103" s="162"/>
      <c r="K103" s="162"/>
    </row>
    <row r="104" spans="7:11" ht="99.9" customHeight="1" x14ac:dyDescent="0.3">
      <c r="G104" s="163"/>
      <c r="K104" s="163"/>
    </row>
    <row r="105" spans="7:11" ht="99.9" customHeight="1" x14ac:dyDescent="0.3">
      <c r="G105" s="160"/>
      <c r="K105" s="160"/>
    </row>
    <row r="106" spans="7:11" ht="99.9" customHeight="1" x14ac:dyDescent="0.3">
      <c r="G106" s="162"/>
      <c r="K106" s="162"/>
    </row>
    <row r="107" spans="7:11" ht="99.9" customHeight="1" x14ac:dyDescent="0.3">
      <c r="G107" s="163"/>
      <c r="K107" s="163"/>
    </row>
    <row r="108" spans="7:11" ht="99.9" customHeight="1" x14ac:dyDescent="0.3">
      <c r="G108" s="160"/>
      <c r="K108" s="160"/>
    </row>
    <row r="109" spans="7:11" ht="99.9" customHeight="1" x14ac:dyDescent="0.3">
      <c r="G109" s="162"/>
      <c r="K109" s="162"/>
    </row>
    <row r="110" spans="7:11" ht="99.9" customHeight="1" x14ac:dyDescent="0.3">
      <c r="G110" s="163"/>
      <c r="K110" s="163"/>
    </row>
    <row r="111" spans="7:11" ht="99.9" customHeight="1" x14ac:dyDescent="0.3">
      <c r="G111" s="160"/>
      <c r="K111" s="160"/>
    </row>
    <row r="112" spans="7:11" ht="99.9" customHeight="1" x14ac:dyDescent="0.3">
      <c r="G112" s="162"/>
      <c r="K112" s="162"/>
    </row>
    <row r="113" spans="7:11" ht="99.9" customHeight="1" x14ac:dyDescent="0.3">
      <c r="G113" s="163"/>
      <c r="K113" s="163"/>
    </row>
    <row r="114" spans="7:11" ht="99.9" customHeight="1" x14ac:dyDescent="0.3">
      <c r="G114" s="160"/>
      <c r="K114" s="160"/>
    </row>
    <row r="115" spans="7:11" ht="99.9" customHeight="1" x14ac:dyDescent="0.3">
      <c r="G115" s="162"/>
      <c r="K115" s="162"/>
    </row>
    <row r="116" spans="7:11" ht="99.9" customHeight="1" x14ac:dyDescent="0.3">
      <c r="G116" s="163"/>
      <c r="K116" s="163"/>
    </row>
    <row r="117" spans="7:11" ht="99.9" customHeight="1" x14ac:dyDescent="0.3">
      <c r="G117" s="160"/>
      <c r="K117" s="160"/>
    </row>
    <row r="118" spans="7:11" ht="99.9" customHeight="1" x14ac:dyDescent="0.3">
      <c r="G118" s="124"/>
      <c r="K118" s="124"/>
    </row>
    <row r="119" spans="7:11" ht="99.9" customHeight="1" x14ac:dyDescent="0.3"/>
    <row r="120" spans="7:11" ht="99.9" customHeight="1" x14ac:dyDescent="0.3"/>
    <row r="121" spans="7:11" ht="99.9" customHeight="1" x14ac:dyDescent="0.3"/>
    <row r="122" spans="7:11" ht="99.9" customHeight="1" x14ac:dyDescent="0.3"/>
    <row r="123" spans="7:11" ht="99.9" customHeight="1" x14ac:dyDescent="0.3"/>
    <row r="124" spans="7:11" ht="99.9" customHeight="1" x14ac:dyDescent="0.3"/>
    <row r="125" spans="7:11" ht="99.9" customHeight="1" x14ac:dyDescent="0.3"/>
    <row r="126" spans="7:11" ht="99.9" customHeight="1" x14ac:dyDescent="0.3"/>
    <row r="127" spans="7:11" ht="99.9" customHeight="1" x14ac:dyDescent="0.3"/>
    <row r="128" spans="7:11" ht="99.9" customHeight="1" x14ac:dyDescent="0.3"/>
    <row r="129" s="161" customFormat="1" ht="99.9" customHeight="1" x14ac:dyDescent="0.3"/>
    <row r="130" s="161" customFormat="1" ht="99.9" customHeight="1" x14ac:dyDescent="0.3"/>
    <row r="131" s="161" customFormat="1" ht="99.9" customHeight="1" x14ac:dyDescent="0.3"/>
    <row r="132" s="161" customFormat="1" ht="99.9" customHeight="1" x14ac:dyDescent="0.3"/>
    <row r="133" s="161" customFormat="1" ht="99.9" customHeight="1" x14ac:dyDescent="0.3"/>
    <row r="134" s="161" customFormat="1" ht="99.9" customHeight="1" x14ac:dyDescent="0.3"/>
    <row r="135" s="161" customFormat="1" ht="99.9" customHeight="1" x14ac:dyDescent="0.3"/>
    <row r="136" s="161" customFormat="1" ht="99.9" customHeight="1" x14ac:dyDescent="0.3"/>
    <row r="137" s="161" customFormat="1" ht="99.9" customHeight="1" x14ac:dyDescent="0.3"/>
    <row r="138" s="161" customFormat="1" ht="99.9" customHeight="1" x14ac:dyDescent="0.3"/>
    <row r="139" s="161" customFormat="1" ht="99.9" customHeight="1" x14ac:dyDescent="0.3"/>
    <row r="140" s="161" customFormat="1" ht="99.9" customHeight="1" x14ac:dyDescent="0.3"/>
    <row r="141" s="161" customFormat="1" ht="99.9" customHeight="1" x14ac:dyDescent="0.3"/>
  </sheetData>
  <sheetProtection algorithmName="SHA-512" hashValue="Luv3cn6USg3R+7CXgy+pHZXQgl0ZhaT3OE1S7nhYrDoJZIvjrtaR1Yo1PYgECMctAmjbTURny8ZJiONR/VhhvA==" saltValue="SKUZB3s4yGMZj3kt3Mq0qQ==" spinCount="100000" sheet="1"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30480</xdr:colOff>
                    <xdr:row>0</xdr:row>
                    <xdr:rowOff>106680</xdr:rowOff>
                  </from>
                  <to>
                    <xdr:col>11</xdr:col>
                    <xdr:colOff>1775460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B1" zoomScale="160" zoomScaleNormal="160" workbookViewId="0">
      <selection activeCell="O69" sqref="O69"/>
    </sheetView>
  </sheetViews>
  <sheetFormatPr baseColWidth="10" defaultColWidth="10.6640625" defaultRowHeight="13.2" x14ac:dyDescent="0.25"/>
  <cols>
    <col min="1" max="2" width="10.6640625" style="3" customWidth="1"/>
    <col min="3" max="3" width="13.6640625" style="3" customWidth="1"/>
    <col min="4" max="4" width="9.109375" style="3" customWidth="1"/>
    <col min="5" max="6" width="10.6640625" style="3" customWidth="1"/>
    <col min="7" max="7" width="8.6640625" style="3" customWidth="1"/>
    <col min="8" max="8" width="17" style="16" customWidth="1"/>
    <col min="9" max="10" width="21.109375" style="6" hidden="1" customWidth="1"/>
    <col min="11" max="16384" width="10.6640625" style="6"/>
  </cols>
  <sheetData>
    <row r="1" spans="1:10" ht="14.1" customHeight="1" x14ac:dyDescent="0.25">
      <c r="A1" s="1"/>
      <c r="B1" s="2"/>
      <c r="E1" s="4" t="s">
        <v>12</v>
      </c>
      <c r="F1" s="137">
        <f ca="1">'Demande de prix'!$D$19</f>
        <v>44936</v>
      </c>
      <c r="G1" s="138"/>
      <c r="H1" s="139"/>
      <c r="I1" s="5">
        <f>H149</f>
        <v>887.00000000000011</v>
      </c>
      <c r="J1" s="5"/>
    </row>
    <row r="2" spans="1:10" ht="14.1" customHeight="1" x14ac:dyDescent="0.25">
      <c r="A2" s="7"/>
      <c r="B2" s="8"/>
      <c r="E2" s="4"/>
      <c r="F2" s="140"/>
      <c r="G2" s="138"/>
      <c r="H2" s="139"/>
    </row>
    <row r="3" spans="1:10" ht="14.1" customHeight="1" x14ac:dyDescent="0.25">
      <c r="A3" s="7"/>
      <c r="B3" s="7"/>
      <c r="E3" s="9" t="s">
        <v>13</v>
      </c>
      <c r="F3" s="155" t="str">
        <f>'Demande de prix'!$D$18</f>
        <v xml:space="preserve">toto </v>
      </c>
      <c r="G3" s="156"/>
      <c r="H3" s="157"/>
    </row>
    <row r="4" spans="1:10" ht="13.8" x14ac:dyDescent="0.25">
      <c r="A4" s="7"/>
      <c r="B4" s="7"/>
      <c r="E4" s="129"/>
      <c r="F4" s="158"/>
      <c r="G4" s="158"/>
      <c r="H4" s="159"/>
    </row>
    <row r="5" spans="1:10" x14ac:dyDescent="0.25">
      <c r="A5" s="7"/>
      <c r="B5" s="7"/>
      <c r="C5" s="7"/>
      <c r="D5" s="7"/>
      <c r="E5" s="141"/>
      <c r="F5" s="142"/>
      <c r="G5" s="142"/>
      <c r="H5" s="143"/>
    </row>
    <row r="6" spans="1:10" x14ac:dyDescent="0.25">
      <c r="A6" s="7"/>
      <c r="B6" s="7"/>
      <c r="C6" s="7"/>
      <c r="D6" s="7"/>
      <c r="E6" s="7"/>
      <c r="F6" s="7"/>
      <c r="H6" s="6"/>
    </row>
    <row r="7" spans="1:10" x14ac:dyDescent="0.25">
      <c r="B7" s="7"/>
      <c r="C7" s="7"/>
      <c r="D7" s="7"/>
      <c r="E7" s="10"/>
      <c r="H7" s="6"/>
    </row>
    <row r="8" spans="1:10" x14ac:dyDescent="0.25">
      <c r="A8" s="7" t="s">
        <v>50</v>
      </c>
      <c r="E8" s="8"/>
      <c r="F8" s="11" t="str">
        <f>'Demande de prix'!$D$22</f>
        <v xml:space="preserve">horizal </v>
      </c>
      <c r="H8" s="6"/>
    </row>
    <row r="9" spans="1:10" ht="14.4" x14ac:dyDescent="0.3">
      <c r="A9" s="55" t="s">
        <v>51</v>
      </c>
      <c r="E9" s="7"/>
      <c r="F9" s="7" t="str">
        <f>'Demande de prix'!$D$23</f>
        <v xml:space="preserve">174 route de lyon </v>
      </c>
      <c r="H9" s="6"/>
    </row>
    <row r="10" spans="1:10" x14ac:dyDescent="0.25">
      <c r="E10" s="7"/>
      <c r="F10" s="7">
        <f>'Demande de prix'!$D$24</f>
        <v>12000</v>
      </c>
      <c r="G10" s="3" t="str">
        <f>'Demande de prix'!$D$25</f>
        <v xml:space="preserve">bourgoin jallieu </v>
      </c>
      <c r="H10" s="6"/>
    </row>
    <row r="11" spans="1:10" x14ac:dyDescent="0.25">
      <c r="F11" s="56"/>
      <c r="G11" s="56"/>
      <c r="H11" s="6"/>
    </row>
    <row r="12" spans="1:10" x14ac:dyDescent="0.25">
      <c r="F12" s="56"/>
      <c r="G12" s="56"/>
      <c r="H12" s="6"/>
    </row>
    <row r="13" spans="1:10" x14ac:dyDescent="0.25">
      <c r="H13" s="6"/>
    </row>
    <row r="14" spans="1:10" x14ac:dyDescent="0.25">
      <c r="A14" s="3" t="s">
        <v>49</v>
      </c>
      <c r="C14" s="3" t="str">
        <f>'Demande de prix'!$D$26</f>
        <v xml:space="preserve">laurent </v>
      </c>
      <c r="H14" s="6"/>
      <c r="I14" s="12"/>
      <c r="J14" s="12"/>
    </row>
    <row r="15" spans="1:10" x14ac:dyDescent="0.25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5">
      <c r="C16" s="57"/>
      <c r="H16" s="6"/>
      <c r="I16" s="12"/>
      <c r="J16" s="12"/>
    </row>
    <row r="17" spans="2:10" x14ac:dyDescent="0.25">
      <c r="C17" s="57"/>
      <c r="H17" s="6"/>
      <c r="I17" s="12"/>
      <c r="J17" s="12"/>
    </row>
    <row r="18" spans="2:10" ht="13.8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3.8" x14ac:dyDescent="0.25">
      <c r="B19" s="15" t="s">
        <v>16</v>
      </c>
      <c r="H19" s="6"/>
    </row>
    <row r="20" spans="2:10" x14ac:dyDescent="0.25">
      <c r="H20" s="6"/>
    </row>
    <row r="21" spans="2:10" x14ac:dyDescent="0.25">
      <c r="H21" s="6"/>
    </row>
    <row r="22" spans="2:10" x14ac:dyDescent="0.25">
      <c r="H22" s="6"/>
    </row>
    <row r="23" spans="2:10" x14ac:dyDescent="0.25">
      <c r="H23" s="6"/>
    </row>
    <row r="24" spans="2:10" x14ac:dyDescent="0.25">
      <c r="H24" s="6"/>
    </row>
    <row r="25" spans="2:10" x14ac:dyDescent="0.25">
      <c r="H25" s="6"/>
    </row>
    <row r="26" spans="2:10" x14ac:dyDescent="0.25">
      <c r="H26" s="6"/>
    </row>
    <row r="27" spans="2:10" x14ac:dyDescent="0.25">
      <c r="H27" s="6"/>
    </row>
    <row r="28" spans="2:10" x14ac:dyDescent="0.25">
      <c r="H28" s="6"/>
    </row>
    <row r="29" spans="2:10" x14ac:dyDescent="0.25">
      <c r="H29" s="6"/>
    </row>
    <row r="30" spans="2:10" x14ac:dyDescent="0.25">
      <c r="H30" s="6"/>
    </row>
    <row r="31" spans="2:10" x14ac:dyDescent="0.25">
      <c r="H31" s="6"/>
    </row>
    <row r="32" spans="2:10" x14ac:dyDescent="0.25">
      <c r="H32" s="6"/>
    </row>
    <row r="33" spans="5:13" x14ac:dyDescent="0.25">
      <c r="H33" s="6"/>
    </row>
    <row r="34" spans="5:13" x14ac:dyDescent="0.25">
      <c r="H34" s="6"/>
    </row>
    <row r="35" spans="5:13" x14ac:dyDescent="0.25">
      <c r="H35" s="6"/>
    </row>
    <row r="36" spans="5:13" x14ac:dyDescent="0.25">
      <c r="H36" s="6"/>
    </row>
    <row r="37" spans="5:13" x14ac:dyDescent="0.25">
      <c r="H37" s="6"/>
      <c r="M37" s="12"/>
    </row>
    <row r="38" spans="5:13" ht="13.8" x14ac:dyDescent="0.25">
      <c r="E38" s="15"/>
      <c r="F38" s="15"/>
      <c r="H38" s="6"/>
    </row>
    <row r="39" spans="5:13" x14ac:dyDescent="0.25">
      <c r="H39" s="6"/>
    </row>
    <row r="40" spans="5:13" x14ac:dyDescent="0.25">
      <c r="H40" s="6"/>
    </row>
    <row r="41" spans="5:13" x14ac:dyDescent="0.25">
      <c r="H41" s="6"/>
    </row>
    <row r="42" spans="5:13" x14ac:dyDescent="0.25">
      <c r="H42" s="6"/>
    </row>
    <row r="43" spans="5:13" x14ac:dyDescent="0.25">
      <c r="H43" s="6"/>
    </row>
    <row r="44" spans="5:13" x14ac:dyDescent="0.25">
      <c r="H44" s="6"/>
    </row>
    <row r="45" spans="5:13" x14ac:dyDescent="0.25">
      <c r="H45" s="6"/>
    </row>
    <row r="46" spans="5:13" x14ac:dyDescent="0.25">
      <c r="H46" s="6"/>
    </row>
    <row r="47" spans="5:13" x14ac:dyDescent="0.25">
      <c r="H47" s="6"/>
    </row>
    <row r="48" spans="5:13" x14ac:dyDescent="0.25">
      <c r="H48" s="6"/>
    </row>
    <row r="49" spans="1:8" x14ac:dyDescent="0.25">
      <c r="F49" s="3" t="s">
        <v>61</v>
      </c>
      <c r="H49" s="6"/>
    </row>
    <row r="50" spans="1:8" x14ac:dyDescent="0.25">
      <c r="H50" s="6"/>
    </row>
    <row r="51" spans="1:8" x14ac:dyDescent="0.25">
      <c r="H51" s="6"/>
    </row>
    <row r="52" spans="1:8" x14ac:dyDescent="0.25">
      <c r="H52" s="3"/>
    </row>
    <row r="55" spans="1:8" x14ac:dyDescent="0.25">
      <c r="H55" s="6"/>
    </row>
    <row r="56" spans="1:8" ht="44.25" customHeight="1" x14ac:dyDescent="0.25">
      <c r="H56" s="6"/>
    </row>
    <row r="57" spans="1:8" x14ac:dyDescent="0.25">
      <c r="H57" s="6"/>
    </row>
    <row r="58" spans="1:8" x14ac:dyDescent="0.25">
      <c r="H58" s="6"/>
    </row>
    <row r="59" spans="1:8" x14ac:dyDescent="0.25">
      <c r="H59" s="6"/>
    </row>
    <row r="60" spans="1:8" x14ac:dyDescent="0.25">
      <c r="H60" s="6"/>
    </row>
    <row r="61" spans="1:8" x14ac:dyDescent="0.25">
      <c r="H61" s="6"/>
    </row>
    <row r="62" spans="1:8" x14ac:dyDescent="0.25">
      <c r="H62" s="6"/>
    </row>
    <row r="63" spans="1:8" x14ac:dyDescent="0.25">
      <c r="A63" s="134" t="s">
        <v>17</v>
      </c>
      <c r="B63" s="135"/>
      <c r="C63" s="135"/>
      <c r="D63" s="135"/>
      <c r="E63" s="135"/>
      <c r="F63" s="135"/>
      <c r="G63" s="136"/>
      <c r="H63" s="18" t="s">
        <v>18</v>
      </c>
    </row>
    <row r="64" spans="1:8" ht="8.1" customHeight="1" x14ac:dyDescent="0.25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3">
      <c r="A65" s="22"/>
      <c r="C65" s="3" t="s">
        <v>204</v>
      </c>
      <c r="H65" s="24"/>
    </row>
    <row r="66" spans="1:16" ht="14.1" customHeight="1" x14ac:dyDescent="0.3">
      <c r="A66" s="22"/>
      <c r="C66" s="93" t="s">
        <v>211</v>
      </c>
      <c r="D66" s="23" t="str">
        <f>'Demande de prix'!$C$67</f>
        <v xml:space="preserve">5010 Mat </v>
      </c>
      <c r="H66" s="24"/>
      <c r="M66"/>
    </row>
    <row r="67" spans="1:16" ht="14.1" customHeight="1" x14ac:dyDescent="0.25">
      <c r="A67" s="22"/>
      <c r="C67" s="93" t="s">
        <v>234</v>
      </c>
      <c r="H67" s="24"/>
    </row>
    <row r="68" spans="1:16" x14ac:dyDescent="0.25">
      <c r="A68" s="22"/>
      <c r="C68" s="3" t="s">
        <v>19</v>
      </c>
      <c r="H68" s="24"/>
    </row>
    <row r="69" spans="1:16" ht="14.4" x14ac:dyDescent="0.3">
      <c r="A69" s="22"/>
      <c r="C69" s="3" t="s">
        <v>20</v>
      </c>
      <c r="H69" s="24"/>
    </row>
    <row r="70" spans="1:16" ht="14.1" customHeight="1" x14ac:dyDescent="0.25">
      <c r="A70" s="22"/>
      <c r="C70" s="3" t="s">
        <v>21</v>
      </c>
      <c r="H70" s="24"/>
    </row>
    <row r="71" spans="1:16" s="12" customFormat="1" ht="15" customHeight="1" x14ac:dyDescent="0.25">
      <c r="A71" s="22"/>
      <c r="B71" s="3"/>
      <c r="C71" s="130" t="s">
        <v>233</v>
      </c>
      <c r="D71" s="3"/>
      <c r="E71" s="3"/>
      <c r="F71" s="3"/>
      <c r="G71" s="3"/>
      <c r="H71" s="24"/>
    </row>
    <row r="72" spans="1:16" ht="15.6" x14ac:dyDescent="0.3">
      <c r="A72" s="22"/>
      <c r="C72" s="3" t="s">
        <v>42</v>
      </c>
      <c r="D72" s="94"/>
      <c r="E72" s="95">
        <f>'Demande de prix'!$C$72</f>
        <v>1</v>
      </c>
      <c r="F72" s="148"/>
      <c r="G72" s="149"/>
      <c r="H72" s="24"/>
    </row>
    <row r="73" spans="1:16" ht="8.1" customHeight="1" x14ac:dyDescent="0.25">
      <c r="A73" s="22"/>
      <c r="E73" s="96"/>
      <c r="H73" s="24"/>
    </row>
    <row r="74" spans="1:16" x14ac:dyDescent="0.25">
      <c r="A74" s="97" t="s">
        <v>73</v>
      </c>
      <c r="H74" s="24"/>
    </row>
    <row r="75" spans="1:16" ht="13.8" thickBot="1" x14ac:dyDescent="0.3">
      <c r="A75" s="22"/>
      <c r="C75" s="3" t="s">
        <v>22</v>
      </c>
      <c r="H75" s="24"/>
    </row>
    <row r="76" spans="1:16" x14ac:dyDescent="0.25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141</v>
      </c>
      <c r="N76" s="6" t="s">
        <v>44</v>
      </c>
      <c r="O76" s="6">
        <v>141</v>
      </c>
      <c r="P76" s="99" t="s">
        <v>212</v>
      </c>
    </row>
    <row r="77" spans="1:16" ht="8.1" customHeight="1" x14ac:dyDescent="0.25">
      <c r="A77" s="19"/>
      <c r="B77" s="20"/>
      <c r="C77" s="20"/>
      <c r="D77" s="20"/>
      <c r="E77" s="20"/>
      <c r="F77" s="20"/>
      <c r="G77" s="20"/>
      <c r="H77" s="21"/>
    </row>
    <row r="78" spans="1:16" x14ac:dyDescent="0.25">
      <c r="A78" s="22"/>
      <c r="C78" s="3" t="s">
        <v>63</v>
      </c>
      <c r="H78" s="24"/>
    </row>
    <row r="79" spans="1:16" x14ac:dyDescent="0.25">
      <c r="A79" s="22"/>
      <c r="C79" s="101" t="s">
        <v>221</v>
      </c>
      <c r="D79" s="23"/>
      <c r="H79" s="24"/>
    </row>
    <row r="80" spans="1:16" x14ac:dyDescent="0.25">
      <c r="A80" s="22"/>
      <c r="C80" s="3" t="s">
        <v>43</v>
      </c>
      <c r="D80" s="3">
        <f>'Demande de prix'!$C$73</f>
        <v>3</v>
      </c>
      <c r="H80" s="24"/>
    </row>
    <row r="81" spans="1:16" ht="8.1" customHeight="1" thickBot="1" x14ac:dyDescent="0.3">
      <c r="A81" s="22"/>
      <c r="H81" s="24"/>
    </row>
    <row r="82" spans="1:16" x14ac:dyDescent="0.25">
      <c r="A82" s="22"/>
      <c r="C82" s="26" t="s">
        <v>24</v>
      </c>
      <c r="D82" s="27"/>
      <c r="E82" s="27"/>
      <c r="F82" s="27"/>
      <c r="G82" s="27"/>
      <c r="H82" s="28">
        <f>D80*O82</f>
        <v>12.899999999999999</v>
      </c>
      <c r="N82" s="6" t="s">
        <v>44</v>
      </c>
      <c r="O82" s="6">
        <v>4.3</v>
      </c>
      <c r="P82" s="99" t="s">
        <v>212</v>
      </c>
    </row>
    <row r="83" spans="1:16" ht="8.1" customHeight="1" x14ac:dyDescent="0.25">
      <c r="A83" s="19"/>
      <c r="B83" s="20"/>
      <c r="C83" s="20"/>
      <c r="D83" s="20"/>
      <c r="E83" s="20"/>
      <c r="F83" s="20"/>
      <c r="G83" s="20"/>
      <c r="H83" s="21"/>
    </row>
    <row r="84" spans="1:16" x14ac:dyDescent="0.25">
      <c r="A84" s="22"/>
      <c r="C84" s="3" t="s">
        <v>215</v>
      </c>
      <c r="F84" s="100" t="str">
        <f>'Demande de prix'!$C$67</f>
        <v xml:space="preserve">5010 Mat </v>
      </c>
      <c r="G84" s="3" t="s">
        <v>216</v>
      </c>
      <c r="H84" s="24"/>
    </row>
    <row r="85" spans="1:16" x14ac:dyDescent="0.25">
      <c r="A85" s="22"/>
      <c r="C85" s="3" t="s">
        <v>64</v>
      </c>
      <c r="D85" s="3">
        <f>'Demande de prix'!$C$74</f>
        <v>1</v>
      </c>
      <c r="H85" s="24"/>
    </row>
    <row r="86" spans="1:16" ht="8.1" customHeight="1" thickBot="1" x14ac:dyDescent="0.3">
      <c r="A86" s="22"/>
      <c r="H86" s="24"/>
    </row>
    <row r="87" spans="1:16" x14ac:dyDescent="0.25">
      <c r="A87" s="22"/>
      <c r="C87" s="26" t="s">
        <v>24</v>
      </c>
      <c r="D87" s="27"/>
      <c r="E87" s="27"/>
      <c r="F87" s="27"/>
      <c r="G87" s="27"/>
      <c r="H87" s="28">
        <f>O87*D85</f>
        <v>49</v>
      </c>
      <c r="N87" s="6" t="s">
        <v>44</v>
      </c>
      <c r="O87" s="6">
        <v>49</v>
      </c>
      <c r="P87" s="99" t="s">
        <v>212</v>
      </c>
    </row>
    <row r="88" spans="1:16" ht="8.1" customHeight="1" x14ac:dyDescent="0.25">
      <c r="A88" s="19"/>
      <c r="B88" s="20"/>
      <c r="C88" s="20"/>
      <c r="D88" s="20"/>
      <c r="E88" s="20"/>
      <c r="F88" s="20"/>
      <c r="G88" s="20"/>
      <c r="H88" s="21"/>
    </row>
    <row r="89" spans="1:16" x14ac:dyDescent="0.25">
      <c r="A89" s="22"/>
      <c r="C89" s="3" t="s">
        <v>65</v>
      </c>
      <c r="F89" s="102" t="s">
        <v>217</v>
      </c>
      <c r="G89" s="23" t="s">
        <v>218</v>
      </c>
      <c r="H89" s="24"/>
    </row>
    <row r="90" spans="1:16" x14ac:dyDescent="0.25">
      <c r="A90" s="22"/>
      <c r="C90" s="91" t="s">
        <v>205</v>
      </c>
      <c r="H90" s="24"/>
    </row>
    <row r="91" spans="1:16" x14ac:dyDescent="0.25">
      <c r="A91" s="22"/>
      <c r="C91" s="3" t="s">
        <v>43</v>
      </c>
      <c r="D91" s="3">
        <f>'Demande de prix'!$C$76</f>
        <v>4</v>
      </c>
      <c r="H91" s="24"/>
    </row>
    <row r="92" spans="1:16" ht="8.1" customHeight="1" thickBot="1" x14ac:dyDescent="0.3">
      <c r="A92" s="22"/>
      <c r="H92" s="24"/>
    </row>
    <row r="93" spans="1:16" x14ac:dyDescent="0.25">
      <c r="A93" s="22"/>
      <c r="C93" s="26" t="s">
        <v>24</v>
      </c>
      <c r="D93" s="27"/>
      <c r="E93" s="27"/>
      <c r="F93" s="27"/>
      <c r="G93" s="27"/>
      <c r="H93" s="28">
        <f>D91*O93</f>
        <v>16.8</v>
      </c>
      <c r="N93" s="6" t="s">
        <v>44</v>
      </c>
      <c r="O93" s="6">
        <v>4.2</v>
      </c>
      <c r="P93" s="99" t="s">
        <v>212</v>
      </c>
    </row>
    <row r="94" spans="1:16" ht="8.1" customHeight="1" x14ac:dyDescent="0.25">
      <c r="A94" s="19"/>
      <c r="B94" s="20"/>
      <c r="C94" s="20"/>
      <c r="D94" s="20"/>
      <c r="E94" s="20"/>
      <c r="F94" s="20"/>
      <c r="G94" s="20"/>
      <c r="H94" s="21"/>
    </row>
    <row r="95" spans="1:16" x14ac:dyDescent="0.25">
      <c r="A95" s="22"/>
      <c r="C95" s="3" t="s">
        <v>66</v>
      </c>
      <c r="E95" s="102"/>
      <c r="F95" s="102" t="s">
        <v>211</v>
      </c>
      <c r="G95" s="23" t="str">
        <f>'Demande de prix'!$C$67</f>
        <v xml:space="preserve">5010 Mat </v>
      </c>
      <c r="H95" s="24"/>
    </row>
    <row r="96" spans="1:16" x14ac:dyDescent="0.25">
      <c r="A96" s="22"/>
      <c r="C96" s="91" t="s">
        <v>206</v>
      </c>
      <c r="H96" s="24"/>
    </row>
    <row r="97" spans="1:16" x14ac:dyDescent="0.25">
      <c r="A97" s="22"/>
      <c r="C97" s="3" t="s">
        <v>43</v>
      </c>
      <c r="D97" s="3">
        <f>'Demande de prix'!$C$77</f>
        <v>5</v>
      </c>
      <c r="H97" s="24"/>
    </row>
    <row r="98" spans="1:16" ht="8.1" customHeight="1" thickBot="1" x14ac:dyDescent="0.3">
      <c r="A98" s="22"/>
      <c r="H98" s="24"/>
    </row>
    <row r="99" spans="1:16" x14ac:dyDescent="0.25">
      <c r="A99" s="22"/>
      <c r="C99" s="26" t="s">
        <v>24</v>
      </c>
      <c r="D99" s="27"/>
      <c r="E99" s="27"/>
      <c r="F99" s="27"/>
      <c r="G99" s="27"/>
      <c r="H99" s="28">
        <f>D97*O99</f>
        <v>67.5</v>
      </c>
      <c r="N99" s="6" t="s">
        <v>44</v>
      </c>
      <c r="O99" s="6">
        <v>13.5</v>
      </c>
      <c r="P99" s="99" t="s">
        <v>212</v>
      </c>
    </row>
    <row r="100" spans="1:16" ht="8.1" customHeight="1" x14ac:dyDescent="0.25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5">
      <c r="A101" s="22"/>
      <c r="C101" s="3" t="s">
        <v>67</v>
      </c>
      <c r="F101" s="102" t="s">
        <v>211</v>
      </c>
      <c r="G101" s="23" t="str">
        <f>'Demande de prix'!$C$67</f>
        <v xml:space="preserve">5010 Mat </v>
      </c>
      <c r="H101" s="24"/>
    </row>
    <row r="102" spans="1:16" x14ac:dyDescent="0.25">
      <c r="A102" s="22"/>
      <c r="C102" s="92" t="s">
        <v>207</v>
      </c>
      <c r="H102" s="24"/>
    </row>
    <row r="103" spans="1:16" x14ac:dyDescent="0.25">
      <c r="A103" s="22"/>
      <c r="C103" s="3" t="s">
        <v>43</v>
      </c>
      <c r="D103" s="3">
        <f>'Demande de prix'!$C$78</f>
        <v>6</v>
      </c>
      <c r="H103" s="24"/>
      <c r="K103" s="102"/>
    </row>
    <row r="104" spans="1:16" ht="8.1" customHeight="1" thickBot="1" x14ac:dyDescent="0.3">
      <c r="A104" s="22"/>
      <c r="H104" s="24"/>
    </row>
    <row r="105" spans="1:16" x14ac:dyDescent="0.25">
      <c r="A105" s="22"/>
      <c r="C105" s="26" t="s">
        <v>24</v>
      </c>
      <c r="D105" s="27"/>
      <c r="E105" s="27"/>
      <c r="F105" s="27"/>
      <c r="G105" s="27"/>
      <c r="H105" s="28">
        <f>D103*O105</f>
        <v>192</v>
      </c>
      <c r="N105" s="6" t="s">
        <v>44</v>
      </c>
      <c r="O105" s="6">
        <v>32</v>
      </c>
      <c r="P105" s="99" t="s">
        <v>212</v>
      </c>
    </row>
    <row r="106" spans="1:16" ht="8.1" customHeight="1" x14ac:dyDescent="0.25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5">
      <c r="A107" s="22"/>
      <c r="C107" s="3" t="s">
        <v>68</v>
      </c>
      <c r="F107" s="102" t="s">
        <v>211</v>
      </c>
      <c r="G107" s="23" t="str">
        <f>'Demande de prix'!$C$67</f>
        <v xml:space="preserve">5010 Mat </v>
      </c>
      <c r="H107" s="24"/>
    </row>
    <row r="108" spans="1:16" x14ac:dyDescent="0.25">
      <c r="A108" s="22"/>
      <c r="C108" s="91" t="s">
        <v>208</v>
      </c>
      <c r="H108" s="24"/>
    </row>
    <row r="109" spans="1:16" x14ac:dyDescent="0.25">
      <c r="A109" s="22"/>
      <c r="C109" s="3" t="s">
        <v>43</v>
      </c>
      <c r="D109" s="3">
        <f>'Demande de prix'!$C$81</f>
        <v>7</v>
      </c>
      <c r="H109" s="24"/>
    </row>
    <row r="110" spans="1:16" ht="8.1" customHeight="1" thickBot="1" x14ac:dyDescent="0.3">
      <c r="A110" s="22"/>
      <c r="H110" s="24"/>
    </row>
    <row r="111" spans="1:16" x14ac:dyDescent="0.25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45.5</v>
      </c>
      <c r="N111" s="6" t="s">
        <v>44</v>
      </c>
      <c r="O111" s="6">
        <v>6.5</v>
      </c>
      <c r="P111" s="99" t="s">
        <v>212</v>
      </c>
    </row>
    <row r="112" spans="1:16" x14ac:dyDescent="0.25">
      <c r="A112" s="134" t="s">
        <v>17</v>
      </c>
      <c r="B112" s="135"/>
      <c r="C112" s="135"/>
      <c r="D112" s="135"/>
      <c r="E112" s="135"/>
      <c r="F112" s="135"/>
      <c r="G112" s="136"/>
      <c r="H112" s="18" t="s">
        <v>18</v>
      </c>
    </row>
    <row r="113" spans="1:16" ht="8.1" customHeight="1" x14ac:dyDescent="0.25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5">
      <c r="A114" s="22"/>
      <c r="C114" s="34" t="s">
        <v>69</v>
      </c>
      <c r="F114" s="102" t="s">
        <v>219</v>
      </c>
      <c r="G114" s="23" t="s">
        <v>220</v>
      </c>
      <c r="H114" s="24"/>
      <c r="L114" s="101"/>
    </row>
    <row r="115" spans="1:16" x14ac:dyDescent="0.25">
      <c r="A115" s="22"/>
      <c r="C115" s="3" t="s">
        <v>43</v>
      </c>
      <c r="D115" s="3">
        <f>'Demande de prix'!$C$83</f>
        <v>8</v>
      </c>
      <c r="H115" s="24"/>
    </row>
    <row r="116" spans="1:16" ht="8.1" customHeight="1" thickBot="1" x14ac:dyDescent="0.3">
      <c r="A116" s="22"/>
      <c r="H116" s="24"/>
    </row>
    <row r="117" spans="1:16" x14ac:dyDescent="0.25">
      <c r="A117" s="22"/>
      <c r="C117" s="26" t="s">
        <v>24</v>
      </c>
      <c r="D117" s="27"/>
      <c r="E117" s="27"/>
      <c r="F117" s="27"/>
      <c r="G117" s="27"/>
      <c r="H117" s="28">
        <f>D115*O117</f>
        <v>21.6</v>
      </c>
      <c r="N117" s="6" t="s">
        <v>44</v>
      </c>
      <c r="O117" s="6">
        <v>2.7</v>
      </c>
      <c r="P117" s="99" t="s">
        <v>212</v>
      </c>
    </row>
    <row r="118" spans="1:16" ht="8.1" customHeight="1" x14ac:dyDescent="0.25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5">
      <c r="A119" s="22"/>
      <c r="C119" s="34" t="s">
        <v>70</v>
      </c>
      <c r="F119" s="102" t="s">
        <v>219</v>
      </c>
      <c r="G119" s="23" t="s">
        <v>220</v>
      </c>
      <c r="H119" s="24"/>
    </row>
    <row r="120" spans="1:16" x14ac:dyDescent="0.25">
      <c r="A120" s="22"/>
      <c r="C120" s="3" t="s">
        <v>43</v>
      </c>
      <c r="D120" s="3">
        <f>'Demande de prix'!$C$84</f>
        <v>9</v>
      </c>
      <c r="H120" s="24"/>
    </row>
    <row r="121" spans="1:16" ht="8.1" customHeight="1" thickBot="1" x14ac:dyDescent="0.3">
      <c r="A121" s="22"/>
      <c r="H121" s="24"/>
    </row>
    <row r="122" spans="1:16" x14ac:dyDescent="0.25">
      <c r="A122" s="22"/>
      <c r="C122" s="26" t="s">
        <v>24</v>
      </c>
      <c r="D122" s="27"/>
      <c r="E122" s="27"/>
      <c r="F122" s="27"/>
      <c r="G122" s="27"/>
      <c r="H122" s="28">
        <f>D120*O122</f>
        <v>20.7</v>
      </c>
      <c r="N122" s="6" t="s">
        <v>44</v>
      </c>
      <c r="O122" s="6">
        <v>2.2999999999999998</v>
      </c>
      <c r="P122" s="99" t="s">
        <v>212</v>
      </c>
    </row>
    <row r="123" spans="1:16" ht="8.1" customHeight="1" x14ac:dyDescent="0.25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5">
      <c r="A124" s="22"/>
      <c r="C124" s="34" t="s">
        <v>71</v>
      </c>
      <c r="F124" s="102" t="s">
        <v>219</v>
      </c>
      <c r="G124" s="23" t="s">
        <v>220</v>
      </c>
      <c r="H124" s="24"/>
    </row>
    <row r="125" spans="1:16" x14ac:dyDescent="0.25">
      <c r="A125" s="22"/>
      <c r="C125" s="3" t="s">
        <v>43</v>
      </c>
      <c r="D125" s="3">
        <f>'Demande de prix'!$C$85</f>
        <v>10</v>
      </c>
      <c r="H125" s="24"/>
    </row>
    <row r="126" spans="1:16" ht="8.1" customHeight="1" thickBot="1" x14ac:dyDescent="0.3">
      <c r="A126" s="22"/>
      <c r="H126" s="24"/>
    </row>
    <row r="127" spans="1:16" x14ac:dyDescent="0.25">
      <c r="A127" s="22"/>
      <c r="C127" s="26" t="s">
        <v>24</v>
      </c>
      <c r="D127" s="27"/>
      <c r="E127" s="27"/>
      <c r="F127" s="27"/>
      <c r="G127" s="27"/>
      <c r="H127" s="28">
        <f>D125*O127</f>
        <v>17</v>
      </c>
      <c r="N127" s="6" t="s">
        <v>44</v>
      </c>
      <c r="O127" s="6">
        <v>1.7</v>
      </c>
      <c r="P127" s="99" t="s">
        <v>212</v>
      </c>
    </row>
    <row r="128" spans="1:16" ht="8.1" customHeight="1" x14ac:dyDescent="0.25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5">
      <c r="A129" s="22"/>
      <c r="C129" s="3" t="s">
        <v>222</v>
      </c>
      <c r="H129" s="24"/>
      <c r="P129" s="99"/>
    </row>
    <row r="130" spans="1:16" x14ac:dyDescent="0.25">
      <c r="A130" s="22"/>
      <c r="C130" s="3" t="s">
        <v>43</v>
      </c>
      <c r="D130" s="3">
        <v>1</v>
      </c>
      <c r="H130" s="24"/>
      <c r="P130" s="99"/>
    </row>
    <row r="131" spans="1:16" x14ac:dyDescent="0.25">
      <c r="A131" s="22"/>
      <c r="C131" s="104"/>
      <c r="D131" s="104"/>
      <c r="H131" s="24"/>
      <c r="P131" s="99"/>
    </row>
    <row r="132" spans="1:16" x14ac:dyDescent="0.25">
      <c r="A132" s="22"/>
      <c r="C132" s="104" t="s">
        <v>223</v>
      </c>
      <c r="H132" s="24"/>
      <c r="P132" s="99"/>
    </row>
    <row r="133" spans="1:16" ht="8.1" customHeight="1" thickBot="1" x14ac:dyDescent="0.3">
      <c r="A133" s="22"/>
      <c r="C133" s="104"/>
      <c r="H133" s="24"/>
      <c r="P133" s="99"/>
    </row>
    <row r="134" spans="1:16" x14ac:dyDescent="0.25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5">
      <c r="A135" s="22"/>
      <c r="H135" s="24"/>
    </row>
    <row r="136" spans="1:16" x14ac:dyDescent="0.25">
      <c r="A136" s="22"/>
      <c r="C136" s="34" t="s">
        <v>40</v>
      </c>
      <c r="H136" s="24"/>
    </row>
    <row r="137" spans="1:16" x14ac:dyDescent="0.25">
      <c r="A137" s="22"/>
      <c r="C137" s="3" t="s">
        <v>41</v>
      </c>
      <c r="H137" s="24"/>
    </row>
    <row r="138" spans="1:16" ht="8.1" customHeight="1" thickBot="1" x14ac:dyDescent="0.3">
      <c r="A138" s="22"/>
      <c r="H138" s="24"/>
    </row>
    <row r="139" spans="1:16" ht="13.8" thickBot="1" x14ac:dyDescent="0.3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303</v>
      </c>
      <c r="N139" s="10" t="s">
        <v>45</v>
      </c>
      <c r="O139" s="6">
        <v>303</v>
      </c>
      <c r="P139" s="99" t="s">
        <v>212</v>
      </c>
    </row>
    <row r="140" spans="1:16" ht="8.1" customHeight="1" x14ac:dyDescent="0.25">
      <c r="A140" s="122"/>
      <c r="N140" s="10"/>
      <c r="P140" s="99"/>
    </row>
    <row r="141" spans="1:16" s="108" customFormat="1" ht="8.1" customHeight="1" x14ac:dyDescent="0.3">
      <c r="A141" s="105"/>
      <c r="B141" s="106"/>
      <c r="C141" s="106"/>
      <c r="D141" s="106"/>
      <c r="E141" s="106"/>
      <c r="F141" s="106"/>
      <c r="G141" s="106"/>
      <c r="H141" s="107"/>
    </row>
    <row r="142" spans="1:16" s="108" customFormat="1" ht="14.4" x14ac:dyDescent="0.3">
      <c r="A142" s="109"/>
      <c r="B142" s="110"/>
      <c r="C142" s="34" t="s">
        <v>224</v>
      </c>
      <c r="D142" s="110"/>
      <c r="E142" s="110"/>
      <c r="F142" s="110"/>
      <c r="G142" s="110"/>
      <c r="H142" s="111"/>
    </row>
    <row r="143" spans="1:16" s="108" customFormat="1" ht="8.1" customHeight="1" x14ac:dyDescent="0.3">
      <c r="A143" s="109"/>
      <c r="B143" s="110"/>
      <c r="C143" s="110"/>
      <c r="D143" s="110"/>
      <c r="E143" s="110"/>
      <c r="F143" s="110"/>
      <c r="G143" s="110"/>
      <c r="H143" s="111"/>
    </row>
    <row r="144" spans="1:16" s="108" customFormat="1" ht="14.4" x14ac:dyDescent="0.3">
      <c r="A144" s="109"/>
      <c r="C144" s="153" t="s">
        <v>225</v>
      </c>
      <c r="D144" s="154"/>
      <c r="E144" s="112" t="s">
        <v>226</v>
      </c>
      <c r="F144" s="113" t="s">
        <v>227</v>
      </c>
      <c r="G144" s="114" t="s">
        <v>228</v>
      </c>
      <c r="H144" s="115" t="s">
        <v>229</v>
      </c>
    </row>
    <row r="145" spans="1:21" s="108" customFormat="1" ht="15" thickBot="1" x14ac:dyDescent="0.35">
      <c r="A145" s="109"/>
      <c r="C145" s="153" t="s">
        <v>230</v>
      </c>
      <c r="D145" s="154"/>
      <c r="E145" s="112">
        <v>603001</v>
      </c>
      <c r="F145" s="113">
        <f>E72*1.468</f>
        <v>1.468</v>
      </c>
      <c r="G145" s="116">
        <v>0.06</v>
      </c>
      <c r="H145" s="115">
        <f>G145*F145</f>
        <v>8.8079999999999992E-2</v>
      </c>
    </row>
    <row r="146" spans="1:21" s="108" customFormat="1" ht="15" thickBot="1" x14ac:dyDescent="0.35">
      <c r="A146" s="109"/>
      <c r="B146" s="110"/>
      <c r="C146" s="117" t="s">
        <v>231</v>
      </c>
      <c r="D146" s="118"/>
      <c r="E146" s="118"/>
      <c r="F146" s="118"/>
      <c r="G146" s="118"/>
      <c r="H146" s="119">
        <f>H145</f>
        <v>8.8079999999999992E-2</v>
      </c>
    </row>
    <row r="147" spans="1:21" s="108" customFormat="1" ht="14.4" x14ac:dyDescent="0.3">
      <c r="A147" s="150" t="s">
        <v>232</v>
      </c>
      <c r="B147" s="151"/>
      <c r="C147" s="151"/>
      <c r="D147" s="151"/>
      <c r="E147" s="151"/>
      <c r="F147" s="151"/>
      <c r="G147" s="151"/>
      <c r="H147" s="152"/>
    </row>
    <row r="148" spans="1:21" ht="8.1" customHeight="1" x14ac:dyDescent="0.25">
      <c r="O148" s="5"/>
    </row>
    <row r="149" spans="1:21" ht="14.4" x14ac:dyDescent="0.3">
      <c r="A149" s="6"/>
      <c r="B149" s="6"/>
      <c r="C149" s="132" t="s">
        <v>25</v>
      </c>
      <c r="D149" s="133"/>
      <c r="E149" s="133"/>
      <c r="F149" s="133"/>
      <c r="G149" s="147"/>
      <c r="H149" s="38">
        <f>SUM(H76:H139)</f>
        <v>887.00000000000011</v>
      </c>
    </row>
    <row r="150" spans="1:21" ht="14.4" x14ac:dyDescent="0.3">
      <c r="A150" s="6"/>
      <c r="B150" s="6"/>
      <c r="C150" s="144" t="str">
        <f>IF(H149&gt;10000,"Remise 3%","")</f>
        <v/>
      </c>
      <c r="D150" s="145"/>
      <c r="E150" s="145"/>
      <c r="F150" s="145"/>
      <c r="G150" s="146"/>
      <c r="H150" s="128" t="str">
        <f>IF(H149&gt;=10000,(H149/100)*3,"")</f>
        <v/>
      </c>
      <c r="M150" s="6" t="s">
        <v>47</v>
      </c>
      <c r="O150" s="6">
        <f>IF(U150&lt;3000,O139,0)</f>
        <v>303</v>
      </c>
      <c r="R150" s="54" t="s">
        <v>48</v>
      </c>
      <c r="U150" s="5">
        <f>SUM(H76:H127)</f>
        <v>584.00000000000011</v>
      </c>
    </row>
    <row r="151" spans="1:21" ht="14.4" x14ac:dyDescent="0.3">
      <c r="A151" s="6"/>
      <c r="B151" s="6"/>
      <c r="C151" s="132" t="str">
        <f>IF(H149&gt;=10000,"PRIX TOTAL APRES REMISE HT","")</f>
        <v/>
      </c>
      <c r="D151" s="133"/>
      <c r="E151" s="133"/>
      <c r="F151" s="133"/>
      <c r="G151" s="133"/>
      <c r="H151" s="38" t="str">
        <f>IFERROR(IF(H149&gt;=10000,H149-H150,"")+H146,"")</f>
        <v/>
      </c>
      <c r="R151" s="54"/>
      <c r="U151" s="5"/>
    </row>
    <row r="152" spans="1:21" x14ac:dyDescent="0.25">
      <c r="A152" s="6"/>
      <c r="B152" s="6"/>
      <c r="C152" s="6"/>
      <c r="D152" s="6"/>
      <c r="E152" s="6"/>
      <c r="F152" s="6"/>
      <c r="G152" s="6"/>
      <c r="H152" s="6"/>
    </row>
    <row r="153" spans="1:21" x14ac:dyDescent="0.25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5">
      <c r="A154" s="42" t="s">
        <v>27</v>
      </c>
      <c r="B154" s="120"/>
      <c r="C154" s="120"/>
      <c r="D154" s="120"/>
      <c r="E154" s="120"/>
      <c r="F154" s="120"/>
      <c r="G154" s="120"/>
      <c r="H154" s="43"/>
    </row>
    <row r="155" spans="1:21" x14ac:dyDescent="0.25">
      <c r="A155" s="42" t="s">
        <v>28</v>
      </c>
      <c r="B155" s="120"/>
      <c r="C155" s="120"/>
      <c r="D155" s="120"/>
      <c r="E155" s="120"/>
      <c r="F155" s="120"/>
      <c r="G155" s="120"/>
      <c r="H155" s="43"/>
    </row>
    <row r="156" spans="1:21" x14ac:dyDescent="0.25">
      <c r="A156" s="42" t="s">
        <v>29</v>
      </c>
      <c r="B156" s="120"/>
      <c r="C156" s="120"/>
      <c r="D156" s="120"/>
      <c r="E156" s="120"/>
      <c r="F156" s="120"/>
      <c r="G156" s="120"/>
      <c r="H156" s="43"/>
    </row>
    <row r="157" spans="1:21" x14ac:dyDescent="0.25">
      <c r="A157" s="42" t="s">
        <v>30</v>
      </c>
      <c r="B157" s="120"/>
      <c r="C157" s="120"/>
      <c r="D157" s="120"/>
      <c r="E157" s="120"/>
      <c r="F157" s="120"/>
      <c r="G157" s="120"/>
      <c r="H157" s="43"/>
    </row>
    <row r="158" spans="1:21" x14ac:dyDescent="0.25">
      <c r="A158" s="44" t="s">
        <v>31</v>
      </c>
      <c r="B158" s="120"/>
      <c r="C158" s="120"/>
      <c r="D158" s="120"/>
      <c r="E158" s="120"/>
      <c r="F158" s="120"/>
      <c r="G158" s="120"/>
      <c r="H158" s="43"/>
    </row>
    <row r="159" spans="1:21" x14ac:dyDescent="0.25">
      <c r="A159" s="121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3" t="s">
        <v>33</v>
      </c>
      <c r="E161" s="6"/>
      <c r="F161" s="6"/>
      <c r="G161" s="6"/>
      <c r="H161" s="6"/>
    </row>
    <row r="162" spans="1:8" x14ac:dyDescent="0.25">
      <c r="A162" s="3" t="s">
        <v>34</v>
      </c>
      <c r="E162" s="6"/>
      <c r="F162" s="6"/>
      <c r="G162" s="6"/>
      <c r="H162" s="6"/>
    </row>
    <row r="163" spans="1:8" x14ac:dyDescent="0.25">
      <c r="A163" s="3" t="s">
        <v>35</v>
      </c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5">
      <c r="A166" s="48"/>
      <c r="B166" s="17"/>
      <c r="C166" s="49"/>
      <c r="D166" s="17"/>
      <c r="E166" s="17"/>
      <c r="F166" s="17"/>
      <c r="G166" s="17"/>
      <c r="H166" s="17"/>
    </row>
    <row r="167" spans="1:8" x14ac:dyDescent="0.25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5">
      <c r="A168" s="50"/>
      <c r="B168" s="6"/>
      <c r="C168" s="25"/>
      <c r="D168" s="6"/>
      <c r="E168" s="6"/>
      <c r="F168" s="6"/>
      <c r="G168" s="6"/>
      <c r="H168" s="6"/>
    </row>
    <row r="169" spans="1:8" x14ac:dyDescent="0.25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5">
      <c r="A170" s="50"/>
      <c r="B170" s="6"/>
      <c r="C170" s="25"/>
      <c r="D170" s="6"/>
      <c r="E170" s="6"/>
      <c r="F170" s="6"/>
      <c r="G170" s="6"/>
      <c r="H170" s="6"/>
    </row>
    <row r="171" spans="1:8" x14ac:dyDescent="0.25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3">
    <mergeCell ref="C151:G151"/>
    <mergeCell ref="A63:G63"/>
    <mergeCell ref="F1:H1"/>
    <mergeCell ref="F2:H2"/>
    <mergeCell ref="E5:H5"/>
    <mergeCell ref="C150:G150"/>
    <mergeCell ref="C149:G149"/>
    <mergeCell ref="F72:G72"/>
    <mergeCell ref="A112:G112"/>
    <mergeCell ref="A147:H147"/>
    <mergeCell ref="C144:D144"/>
    <mergeCell ref="C145:D145"/>
    <mergeCell ref="F3:H4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B15" sqref="B15:G15"/>
    </sheetView>
  </sheetViews>
  <sheetFormatPr baseColWidth="10" defaultColWidth="11.44140625" defaultRowHeight="18" customHeight="1" x14ac:dyDescent="0.3"/>
  <cols>
    <col min="1" max="1" width="30.109375" style="70" customWidth="1"/>
    <col min="2" max="2" width="55.33203125" style="78" customWidth="1"/>
    <col min="3" max="3" width="11.6640625" style="78" bestFit="1" customWidth="1"/>
    <col min="4" max="4" width="7.44140625" style="79" customWidth="1"/>
    <col min="5" max="5" width="7.88671875" style="79" customWidth="1"/>
    <col min="6" max="6" width="17.6640625" style="79" customWidth="1"/>
    <col min="7" max="7" width="36.5546875" style="79" customWidth="1"/>
    <col min="8" max="8" width="16.33203125" style="80" customWidth="1"/>
    <col min="9" max="9" width="36" style="80" customWidth="1"/>
    <col min="10" max="10" width="6.6640625" style="80" customWidth="1"/>
    <col min="11" max="11" width="21" style="80" customWidth="1"/>
    <col min="12" max="16384" width="11.44140625" style="70"/>
  </cols>
  <sheetData>
    <row r="1" spans="1:19" ht="18" customHeight="1" x14ac:dyDescent="0.3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5"/>
    <row r="3" spans="1:19" s="63" customFormat="1" ht="36.75" customHeight="1" thickBot="1" x14ac:dyDescent="0.45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3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3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3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3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3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3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3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3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3">
      <c r="A12" s="81" t="s">
        <v>107</v>
      </c>
      <c r="B12" s="64" t="s">
        <v>213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214</v>
      </c>
      <c r="H12" s="68"/>
      <c r="I12" s="68"/>
      <c r="J12" s="68"/>
      <c r="K12" s="68"/>
    </row>
    <row r="13" spans="1:19" ht="18" customHeight="1" x14ac:dyDescent="0.3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3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3">
      <c r="A15" s="81" t="s">
        <v>114</v>
      </c>
      <c r="B15" s="71" t="s">
        <v>86</v>
      </c>
      <c r="C15" s="71" t="s">
        <v>81</v>
      </c>
      <c r="D15" s="72">
        <v>5</v>
      </c>
      <c r="E15" s="73">
        <v>3320</v>
      </c>
      <c r="F15" s="74" t="s">
        <v>87</v>
      </c>
      <c r="G15" s="89" t="s">
        <v>200</v>
      </c>
      <c r="H15" s="68"/>
      <c r="I15" s="68"/>
      <c r="J15" s="68"/>
      <c r="K15" s="68"/>
    </row>
    <row r="16" spans="1:19" ht="18" customHeight="1" x14ac:dyDescent="0.3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3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3">
      <c r="A18" s="81" t="s">
        <v>117</v>
      </c>
      <c r="B18" s="64" t="s">
        <v>213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214</v>
      </c>
      <c r="H18" s="68"/>
      <c r="I18" s="68"/>
      <c r="J18" s="68"/>
      <c r="K18" s="68"/>
    </row>
    <row r="19" spans="1:11" ht="18" customHeight="1" x14ac:dyDescent="0.3">
      <c r="A19" s="81" t="s">
        <v>118</v>
      </c>
      <c r="B19" s="71" t="s">
        <v>213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214</v>
      </c>
      <c r="H19" s="68"/>
      <c r="I19" s="68"/>
      <c r="J19" s="68"/>
      <c r="K19" s="68"/>
    </row>
    <row r="20" spans="1:11" ht="18" customHeight="1" x14ac:dyDescent="0.3">
      <c r="A20" s="81" t="s">
        <v>119</v>
      </c>
      <c r="B20" s="64" t="s">
        <v>213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214</v>
      </c>
      <c r="H20" s="68"/>
      <c r="I20" s="68"/>
      <c r="J20" s="68"/>
      <c r="K20" s="68"/>
    </row>
    <row r="21" spans="1:11" ht="18" customHeight="1" x14ac:dyDescent="0.3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3">
      <c r="A22" s="81" t="s">
        <v>121</v>
      </c>
      <c r="B22" s="64" t="s">
        <v>213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214</v>
      </c>
      <c r="H22" s="68"/>
      <c r="I22" s="68"/>
      <c r="J22" s="68"/>
      <c r="K22" s="68"/>
    </row>
    <row r="23" spans="1:11" ht="18" customHeight="1" x14ac:dyDescent="0.3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3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3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3">
      <c r="A26" s="81" t="s">
        <v>125</v>
      </c>
      <c r="B26" s="64" t="s">
        <v>213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214</v>
      </c>
      <c r="H26" s="68"/>
      <c r="I26" s="68"/>
      <c r="J26" s="68"/>
      <c r="K26" s="68"/>
    </row>
    <row r="27" spans="1:11" ht="18" customHeight="1" x14ac:dyDescent="0.3">
      <c r="A27" s="81" t="s">
        <v>126</v>
      </c>
      <c r="B27" s="71" t="s">
        <v>213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214</v>
      </c>
      <c r="H27" s="68"/>
      <c r="I27" s="68"/>
      <c r="J27" s="68"/>
      <c r="K27" s="68"/>
    </row>
    <row r="28" spans="1:11" ht="18" customHeight="1" x14ac:dyDescent="0.3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3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3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3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3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3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3">
      <c r="A34" s="81" t="s">
        <v>133</v>
      </c>
      <c r="B34" s="64" t="s">
        <v>213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214</v>
      </c>
      <c r="H34" s="68"/>
      <c r="I34" s="68"/>
      <c r="J34" s="68"/>
      <c r="K34" s="68"/>
    </row>
    <row r="35" spans="1:11" ht="18" customHeight="1" x14ac:dyDescent="0.3">
      <c r="A35" s="81" t="s">
        <v>134</v>
      </c>
      <c r="B35" s="71" t="s">
        <v>213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214</v>
      </c>
      <c r="H35" s="68"/>
      <c r="I35" s="68"/>
      <c r="J35" s="68"/>
      <c r="K35" s="68"/>
    </row>
    <row r="36" spans="1:11" ht="18" customHeight="1" x14ac:dyDescent="0.3">
      <c r="A36" s="81" t="s">
        <v>135</v>
      </c>
      <c r="B36" s="64" t="s">
        <v>213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214</v>
      </c>
      <c r="H36" s="68"/>
      <c r="I36" s="68"/>
      <c r="J36" s="68"/>
      <c r="K36" s="68"/>
    </row>
    <row r="37" spans="1:11" ht="18" customHeight="1" x14ac:dyDescent="0.3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3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3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3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3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3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3">
      <c r="A43" s="81" t="s">
        <v>142</v>
      </c>
      <c r="B43" s="71" t="s">
        <v>213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214</v>
      </c>
      <c r="H43" s="68"/>
      <c r="I43" s="68"/>
      <c r="J43" s="68"/>
      <c r="K43" s="68"/>
    </row>
    <row r="44" spans="1:11" ht="18" customHeight="1" x14ac:dyDescent="0.3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3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3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3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3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3">
      <c r="A49" s="81" t="s">
        <v>148</v>
      </c>
      <c r="B49" s="71" t="s">
        <v>213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214</v>
      </c>
      <c r="H49" s="68"/>
      <c r="I49" s="68"/>
      <c r="J49" s="68"/>
      <c r="K49" s="68"/>
    </row>
    <row r="50" spans="1:11" ht="18" customHeight="1" x14ac:dyDescent="0.3">
      <c r="A50" s="81" t="s">
        <v>149</v>
      </c>
      <c r="B50" s="64" t="s">
        <v>213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214</v>
      </c>
      <c r="H50" s="68"/>
      <c r="I50" s="68"/>
      <c r="J50" s="68"/>
      <c r="K50" s="68"/>
    </row>
    <row r="51" spans="1:11" ht="18" customHeight="1" x14ac:dyDescent="0.3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3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3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3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3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3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3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3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3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3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3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3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3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3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3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3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3">
      <c r="A67" s="81" t="s">
        <v>166</v>
      </c>
      <c r="B67" s="71" t="s">
        <v>213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214</v>
      </c>
      <c r="H67" s="68"/>
      <c r="I67" s="68"/>
      <c r="J67" s="68"/>
      <c r="K67" s="68"/>
    </row>
    <row r="68" spans="1:11" ht="18" customHeight="1" x14ac:dyDescent="0.3">
      <c r="A68" s="81" t="s">
        <v>167</v>
      </c>
      <c r="B68" s="64" t="s">
        <v>213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214</v>
      </c>
      <c r="H68" s="68"/>
      <c r="I68" s="68"/>
      <c r="J68" s="68"/>
      <c r="K68" s="68"/>
    </row>
    <row r="69" spans="1:11" ht="18" customHeight="1" x14ac:dyDescent="0.3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3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3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3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3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3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3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3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3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3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3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3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3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3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3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3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3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3">
      <c r="A86" s="82" t="s">
        <v>181</v>
      </c>
      <c r="B86" s="64" t="s">
        <v>213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214</v>
      </c>
      <c r="H86" s="68"/>
      <c r="I86" s="68"/>
      <c r="J86" s="68"/>
      <c r="K86" s="68"/>
    </row>
    <row r="87" spans="1:11" ht="18" customHeight="1" x14ac:dyDescent="0.3">
      <c r="A87" s="82" t="s">
        <v>182</v>
      </c>
      <c r="B87" s="71" t="s">
        <v>213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214</v>
      </c>
      <c r="H87" s="68"/>
      <c r="I87" s="68"/>
      <c r="J87" s="68"/>
      <c r="K87" s="68"/>
    </row>
    <row r="88" spans="1:11" ht="18" customHeight="1" x14ac:dyDescent="0.3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3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3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3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3">
      <c r="A92" s="82" t="s">
        <v>187</v>
      </c>
      <c r="B92" s="64" t="s">
        <v>213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214</v>
      </c>
      <c r="H92" s="68"/>
      <c r="I92" s="68"/>
      <c r="J92" s="68"/>
      <c r="K92" s="68"/>
    </row>
    <row r="93" spans="1:11" ht="18" customHeight="1" x14ac:dyDescent="0.3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3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3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3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3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3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3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3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3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3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3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3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3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3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3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3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3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3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3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3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3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3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3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3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3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3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3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3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8:G20" r:id="rId66" display="arnauddroulez@horizal.com" xr:uid="{359E6CE5-E76E-4AC1-80EF-92E17C0DAFC8}"/>
    <hyperlink ref="G22" r:id="rId67" xr:uid="{CE6ECE19-DA63-452A-8F59-2B41A089E442}"/>
    <hyperlink ref="G26:G27" r:id="rId68" display="arnauddroulez@horizal.com" xr:uid="{6999D58D-2EB5-4332-91C2-877E4149B5D7}"/>
    <hyperlink ref="G34:G36" r:id="rId69" display="arnauddroulez@horizal.com" xr:uid="{4ABFBB0C-E8F5-4440-813C-EE6B74C62F5F}"/>
    <hyperlink ref="G43" r:id="rId70" xr:uid="{7A6C980A-80FE-4BD9-A492-12485EAD70D5}"/>
    <hyperlink ref="G49:G50" r:id="rId71" display="arnauddroulez@horizal.com" xr:uid="{E531B1C7-3B29-43BC-9497-0DB5FC62F898}"/>
    <hyperlink ref="G67:G68" r:id="rId72" display="arnauddroulez@horizal.com" xr:uid="{239CE9CC-D9BC-485E-82E6-9B96A8F8AE90}"/>
    <hyperlink ref="G86:G87" r:id="rId73" display="arnauddroulez@horizal.com" xr:uid="{E97FF58F-63F2-432C-BF11-1991D43892C1}"/>
    <hyperlink ref="G92" r:id="rId74" xr:uid="{A3C3244B-F41A-45E6-96CB-94DCC189A217}"/>
    <hyperlink ref="G15" r:id="rId75" xr:uid="{E7F28BA9-5F59-4C44-AA07-27C443668509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2023-01-03T15:12:32Z</cp:lastPrinted>
  <dcterms:created xsi:type="dcterms:W3CDTF">2022-05-09T12:46:35Z</dcterms:created>
  <dcterms:modified xsi:type="dcterms:W3CDTF">2023-01-10T13:22:46Z</dcterms:modified>
</cp:coreProperties>
</file>