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unknow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1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6f92dc34832936/GitHub/modural/Excel/"/>
    </mc:Choice>
  </mc:AlternateContent>
  <xr:revisionPtr revIDLastSave="0" documentId="8_{E09FD484-0899-4655-80CB-D5E41598202A}" xr6:coauthVersionLast="47" xr6:coauthVersionMax="47" xr10:uidLastSave="{00000000-0000-0000-0000-000000000000}"/>
  <bookViews>
    <workbookView xWindow="-120" yWindow="-120" windowWidth="29040" windowHeight="15840" xr2:uid="{9B554506-D1FC-4885-B224-46EE434C65A4}"/>
  </bookViews>
  <sheets>
    <sheet name="Demande de prix" sheetId="2" r:id="rId1"/>
    <sheet name="Remise de prix" sheetId="3" r:id="rId2"/>
    <sheet name="Département Commerciaux" sheetId="5" r:id="rId3"/>
  </sheets>
  <externalReferences>
    <externalReference r:id="rId4"/>
  </externalReferences>
  <definedNames>
    <definedName name="_xlnm._FilterDatabase" localSheetId="2" hidden="1">'Département Commerciaux'!$A$1:$G$120</definedName>
    <definedName name="CaseACocher1" localSheetId="1">'Remise de prix'!#REF!</definedName>
    <definedName name="_xlnm.Print_Titles" localSheetId="1">'Remise de prix'!$1:$4</definedName>
    <definedName name="MOTIF">[1]MOTIF!$B$6:$B$44</definedName>
    <definedName name="_xlnm.Print_Area" localSheetId="1">'Remise de prix'!$A$1:$H$171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4" i="2" l="1"/>
  <c r="C63" i="2"/>
  <c r="C62" i="2"/>
  <c r="C67" i="2"/>
  <c r="C85" i="2"/>
  <c r="C84" i="2"/>
  <c r="C83" i="2"/>
  <c r="C81" i="2"/>
  <c r="C78" i="2"/>
  <c r="C77" i="2"/>
  <c r="C76" i="2"/>
  <c r="C72" i="2"/>
  <c r="D32" i="2"/>
  <c r="D29" i="2"/>
  <c r="D26" i="2"/>
  <c r="D25" i="2"/>
  <c r="D24" i="2"/>
  <c r="D23" i="2"/>
  <c r="D22" i="2"/>
  <c r="D18" i="2"/>
  <c r="C15" i="3" l="1"/>
  <c r="G107" i="3"/>
  <c r="C14" i="3"/>
  <c r="H1" i="5"/>
  <c r="F1" i="5"/>
  <c r="I3" i="5" s="1"/>
  <c r="D66" i="3" l="1"/>
  <c r="F84" i="3"/>
  <c r="G95" i="3"/>
  <c r="G101" i="3"/>
  <c r="I1" i="5"/>
  <c r="I8" i="5"/>
  <c r="D125" i="3"/>
  <c r="H127" i="3" s="1"/>
  <c r="D120" i="3"/>
  <c r="H122" i="3" s="1"/>
  <c r="D115" i="3"/>
  <c r="H117" i="3" s="1"/>
  <c r="D109" i="3"/>
  <c r="H111" i="3" s="1"/>
  <c r="D103" i="3"/>
  <c r="H105" i="3" s="1"/>
  <c r="D97" i="3"/>
  <c r="H99" i="3" s="1"/>
  <c r="D91" i="3"/>
  <c r="H93" i="3" s="1"/>
  <c r="H72" i="2"/>
  <c r="G10" i="3"/>
  <c r="F10" i="3"/>
  <c r="F9" i="3"/>
  <c r="F8" i="3"/>
  <c r="F3" i="3"/>
  <c r="D19" i="2"/>
  <c r="J18" i="3"/>
  <c r="F1" i="3" l="1"/>
  <c r="C74" i="2"/>
  <c r="H74" i="2" s="1"/>
  <c r="K3" i="5"/>
  <c r="J3" i="5"/>
  <c r="I4" i="5"/>
  <c r="C73" i="2"/>
  <c r="D80" i="3" s="1"/>
  <c r="E72" i="3"/>
  <c r="H76" i="3" l="1"/>
  <c r="F145" i="3"/>
  <c r="H145" i="3" s="1"/>
  <c r="H146" i="3" s="1"/>
  <c r="D85" i="3"/>
  <c r="H87" i="3" s="1"/>
  <c r="H82" i="3"/>
  <c r="U150" i="3" l="1"/>
  <c r="O150" i="3" s="1"/>
  <c r="H139" i="3" s="1"/>
  <c r="H149" i="3" s="1"/>
  <c r="C151" i="3" l="1"/>
  <c r="H150" i="3"/>
  <c r="H151" i="3" s="1"/>
  <c r="I1" i="3" l="1"/>
  <c r="C150" i="3"/>
</calcChain>
</file>

<file path=xl/sharedStrings.xml><?xml version="1.0" encoding="utf-8"?>
<sst xmlns="http://schemas.openxmlformats.org/spreadsheetml/2006/main" count="719" uniqueCount="243">
  <si>
    <t>Réf</t>
  </si>
  <si>
    <t>Qté</t>
  </si>
  <si>
    <t>Les raccords</t>
  </si>
  <si>
    <t>Les embouts</t>
  </si>
  <si>
    <t>Les options</t>
  </si>
  <si>
    <t>Réf chantier :</t>
  </si>
  <si>
    <t>Adresse postale :</t>
  </si>
  <si>
    <t>Société :</t>
  </si>
  <si>
    <t>Date de la demande de prix :</t>
  </si>
  <si>
    <t>Adresse e-mail :</t>
  </si>
  <si>
    <t xml:space="preserve">Téléphone portable </t>
  </si>
  <si>
    <t>Les modules</t>
  </si>
  <si>
    <t>Date</t>
  </si>
  <si>
    <t>Reférence</t>
  </si>
  <si>
    <t>Vente cumul</t>
  </si>
  <si>
    <t>Remise</t>
  </si>
  <si>
    <t>Madame, Monsieur,</t>
  </si>
  <si>
    <t>DETAIL</t>
  </si>
  <si>
    <t>PRIX</t>
  </si>
  <si>
    <t>Sans main courante</t>
  </si>
  <si>
    <r>
      <t>Barreaudage :</t>
    </r>
    <r>
      <rPr>
        <b/>
        <sz val="10"/>
        <rFont val="Arial"/>
        <family val="2"/>
      </rPr>
      <t xml:space="preserve"> R334 (8x50)</t>
    </r>
    <r>
      <rPr>
        <sz val="11"/>
        <color theme="1"/>
        <rFont val="Calibri"/>
        <family val="2"/>
        <scheme val="minor"/>
      </rPr>
      <t xml:space="preserve"> au pas de 105mm</t>
    </r>
  </si>
  <si>
    <t>Fixation sur dalle ou sur muret</t>
  </si>
  <si>
    <t>Livraison sans chevilles ni visserie</t>
  </si>
  <si>
    <t>COUPE 1</t>
  </si>
  <si>
    <t>PRIX TOTAL NET HT</t>
  </si>
  <si>
    <t>PRIX TOTAL HT (SANS CHEVILLES NI VISSERIE)</t>
  </si>
  <si>
    <r>
      <t>Commentaires</t>
    </r>
    <r>
      <rPr>
        <sz val="10"/>
        <rFont val="Arial"/>
        <family val="2"/>
      </rPr>
      <t xml:space="preserve"> :</t>
    </r>
  </si>
  <si>
    <t>Nous vivons actuellement une période de fortes tensions sur les approvisionnements</t>
  </si>
  <si>
    <t>de nos matières premières.</t>
  </si>
  <si>
    <t>Compte tenu de ce contexte inédit, il ne nous est actuellement pas possible de nous</t>
  </si>
  <si>
    <t>projeter et de nous engager sur un maintien des prix au delà de 3 mois.</t>
  </si>
  <si>
    <t>Passé cette date et dans le cas où les prix de matières premières continueraient à augmenter,</t>
  </si>
  <si>
    <t>nous serions dans l'obligation d'actualiser votre devis.</t>
  </si>
  <si>
    <t>Pour  recevoir  une  documentation  de  nos  produits  consultez  notre  site  internet  www.horizal.com</t>
  </si>
  <si>
    <t xml:space="preserve">En cas de commande de votre part merci de nous retourner ce devis accepté accompagné d'un relevé de </t>
  </si>
  <si>
    <t>cotes béton précis.</t>
  </si>
  <si>
    <t>Cachet :</t>
  </si>
  <si>
    <t xml:space="preserve"> Date :</t>
  </si>
  <si>
    <t xml:space="preserve"> Signature :</t>
  </si>
  <si>
    <t>BON POUR ACCORD</t>
  </si>
  <si>
    <t>Transport</t>
  </si>
  <si>
    <t>FRANCO si montant de la livraison supérieur à 3 000 €</t>
  </si>
  <si>
    <t>Nombre de modules :</t>
  </si>
  <si>
    <t xml:space="preserve">Quantité : </t>
  </si>
  <si>
    <t>PU</t>
  </si>
  <si>
    <t>Transport/laquage</t>
  </si>
  <si>
    <t>Contact :</t>
  </si>
  <si>
    <t>Formule transport</t>
  </si>
  <si>
    <t>MONTANT TOTAL HORS TRANSPORT</t>
  </si>
  <si>
    <t xml:space="preserve">A l'attention de : </t>
  </si>
  <si>
    <t>Service chiffrage MODURAL</t>
  </si>
  <si>
    <t>modural@horizal.com</t>
  </si>
  <si>
    <r>
      <t>refchantier</t>
    </r>
    <r>
      <rPr>
        <sz val="10.5"/>
        <color rgb="FF000000"/>
        <rFont val="Open Sans"/>
        <family val="2"/>
      </rPr>
      <t xml:space="preserve"> </t>
    </r>
  </si>
  <si>
    <r>
      <t>societe</t>
    </r>
    <r>
      <rPr>
        <sz val="10.5"/>
        <color rgb="FF000000"/>
        <rFont val="Open Sans"/>
        <family val="2"/>
      </rPr>
      <t xml:space="preserve"> </t>
    </r>
  </si>
  <si>
    <r>
      <t>adressesociete</t>
    </r>
    <r>
      <rPr>
        <sz val="10.5"/>
        <color rgb="FF000000"/>
        <rFont val="Open Sans"/>
        <family val="2"/>
      </rPr>
      <t xml:space="preserve"> </t>
    </r>
  </si>
  <si>
    <r>
      <t>cpsociete</t>
    </r>
    <r>
      <rPr>
        <sz val="10.5"/>
        <color rgb="FF000000"/>
        <rFont val="Open Sans"/>
        <family val="2"/>
      </rPr>
      <t xml:space="preserve"> </t>
    </r>
  </si>
  <si>
    <r>
      <t>ville</t>
    </r>
    <r>
      <rPr>
        <sz val="10.5"/>
        <color rgb="FF000000"/>
        <rFont val="Open Sans"/>
        <family val="2"/>
      </rPr>
      <t xml:space="preserve"> </t>
    </r>
  </si>
  <si>
    <r>
      <t>contactsociete</t>
    </r>
    <r>
      <rPr>
        <sz val="10.5"/>
        <color rgb="FF000000"/>
        <rFont val="Open Sans"/>
        <family val="2"/>
      </rPr>
      <t xml:space="preserve"> </t>
    </r>
  </si>
  <si>
    <r>
      <t>tel</t>
    </r>
    <r>
      <rPr>
        <sz val="10.5"/>
        <color rgb="FF000000"/>
        <rFont val="Open Sans"/>
        <family val="2"/>
      </rPr>
      <t xml:space="preserve"> </t>
    </r>
  </si>
  <si>
    <r>
      <t>mailsociete</t>
    </r>
    <r>
      <rPr>
        <sz val="10.5"/>
        <color rgb="FF000000"/>
        <rFont val="Open Sans"/>
        <family val="2"/>
      </rPr>
      <t xml:space="preserve"> </t>
    </r>
  </si>
  <si>
    <t>Ville</t>
  </si>
  <si>
    <t>Le service devis</t>
  </si>
  <si>
    <t>Tél client :</t>
  </si>
  <si>
    <r>
      <t xml:space="preserve">Cale support 80x80x8 mm </t>
    </r>
    <r>
      <rPr>
        <b/>
        <sz val="10"/>
        <rFont val="Arial"/>
        <family val="2"/>
      </rPr>
      <t>(réf 95971)</t>
    </r>
  </si>
  <si>
    <t>Quantité :</t>
  </si>
  <si>
    <r>
      <t xml:space="preserve">Kit raccord bout à bout </t>
    </r>
    <r>
      <rPr>
        <b/>
        <sz val="10"/>
        <rFont val="Arial"/>
        <family val="2"/>
      </rPr>
      <t>(réf 95974)</t>
    </r>
  </si>
  <si>
    <r>
      <t>Kit raccord angle 90°</t>
    </r>
    <r>
      <rPr>
        <b/>
        <sz val="10"/>
        <rFont val="Arial"/>
        <family val="2"/>
      </rPr>
      <t xml:space="preserve"> (réf 95975)</t>
    </r>
  </si>
  <si>
    <r>
      <t xml:space="preserve">Kit raccord angle 80° 179°  </t>
    </r>
    <r>
      <rPr>
        <b/>
        <sz val="10"/>
        <rFont val="Arial"/>
        <family val="2"/>
      </rPr>
      <t>(réf 95976)</t>
    </r>
  </si>
  <si>
    <r>
      <t xml:space="preserve">Kit embouts d'extrémité </t>
    </r>
    <r>
      <rPr>
        <b/>
        <sz val="10"/>
        <rFont val="Arial"/>
        <family val="2"/>
      </rPr>
      <t>(réf 95973)</t>
    </r>
  </si>
  <si>
    <r>
      <t xml:space="preserve">Cale fourchette ép 5mm </t>
    </r>
    <r>
      <rPr>
        <b/>
        <sz val="9"/>
        <rFont val="Arial"/>
        <family val="2"/>
      </rPr>
      <t>(95978)</t>
    </r>
  </si>
  <si>
    <r>
      <t xml:space="preserve">Cale fourchette ép 2mm </t>
    </r>
    <r>
      <rPr>
        <b/>
        <sz val="9"/>
        <rFont val="Arial"/>
        <family val="2"/>
      </rPr>
      <t>(95979)</t>
    </r>
  </si>
  <si>
    <r>
      <t>Cale sécable</t>
    </r>
    <r>
      <rPr>
        <b/>
        <sz val="9"/>
        <rFont val="Arial"/>
        <family val="2"/>
      </rPr>
      <t xml:space="preserve"> (95977)</t>
    </r>
  </si>
  <si>
    <t>Code postal</t>
  </si>
  <si>
    <t>NB : le calepinage doit être effectué en respecant une longueur de module minimum à 700mm)</t>
  </si>
  <si>
    <t>dpt</t>
  </si>
  <si>
    <t>Garde Corps</t>
  </si>
  <si>
    <t>AC</t>
  </si>
  <si>
    <t>SECT</t>
  </si>
  <si>
    <t>CODE</t>
  </si>
  <si>
    <t>Portable</t>
  </si>
  <si>
    <t>Philippe ROUDIL</t>
  </si>
  <si>
    <t>Corinne</t>
  </si>
  <si>
    <t>06.11.86.06.24</t>
  </si>
  <si>
    <t>Hervé DEMEULEMEESTER</t>
  </si>
  <si>
    <t>Anissa</t>
  </si>
  <si>
    <t>06.26.33.32.72</t>
  </si>
  <si>
    <t>Frédéric TAREL</t>
  </si>
  <si>
    <t>06.11.11.22.17</t>
  </si>
  <si>
    <t>Coralie</t>
  </si>
  <si>
    <t>06.11.14.13.37</t>
  </si>
  <si>
    <t>Olivier RINALDI</t>
  </si>
  <si>
    <t>06.09.47.68.63</t>
  </si>
  <si>
    <t>Lionel DELANGE</t>
  </si>
  <si>
    <t>Maud</t>
  </si>
  <si>
    <t>06.17.33.57.68</t>
  </si>
  <si>
    <t>Dominique GIRARD</t>
  </si>
  <si>
    <t>06.19.82.55.50</t>
  </si>
  <si>
    <t>Yann NOBLET</t>
  </si>
  <si>
    <t>06.28.72.83.80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</si>
  <si>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</si>
  <si>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</si>
  <si>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</si>
  <si>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</si>
  <si>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</si>
  <si>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</si>
  <si>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</si>
  <si>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</si>
  <si>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</si>
  <si>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Commercial concerné :</t>
  </si>
  <si>
    <t>Mail commercial concerné :</t>
  </si>
  <si>
    <t>Tél commercial concerné:</t>
  </si>
  <si>
    <t>69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</si>
  <si>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</si>
  <si>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</si>
  <si>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</si>
  <si>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</si>
  <si>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</si>
  <si>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</si>
  <si>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</si>
  <si>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</si>
  <si>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</si>
  <si>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</si>
  <si>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</si>
  <si>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</si>
  <si>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</si>
  <si>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</si>
  <si>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</si>
  <si>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</si>
  <si>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</si>
  <si>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</si>
  <si>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</si>
  <si>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</si>
  <si>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</si>
  <si>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</si>
  <si>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</si>
  <si>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</si>
  <si>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</si>
  <si>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</si>
  <si>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</si>
  <si>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</si>
  <si>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</si>
  <si>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</si>
  <si>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</si>
  <si>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</si>
  <si>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</si>
  <si>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</si>
  <si>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</si>
  <si>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</si>
  <si>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</si>
  <si>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</si>
  <si>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</si>
  <si>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</si>
  <si>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</si>
  <si>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</si>
  <si>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</si>
  <si>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</si>
  <si>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</si>
  <si>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</si>
  <si>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</si>
  <si>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</si>
  <si>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</si>
  <si>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</si>
  <si>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</si>
  <si>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</si>
  <si>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</si>
  <si>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</si>
  <si>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</si>
  <si>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</si>
  <si>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</si>
  <si>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</si>
  <si>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</si>
  <si>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70</t>
  </si>
  <si>
    <t>71</t>
  </si>
  <si>
    <t>72</t>
  </si>
  <si>
    <t>73</t>
  </si>
  <si>
    <t>74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</si>
  <si>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</si>
  <si>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</si>
  <si>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</si>
  <si>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</si>
  <si>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</si>
  <si>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</si>
  <si>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</si>
  <si>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</si>
  <si>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</si>
  <si>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</si>
  <si>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</si>
  <si>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</si>
  <si>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</si>
  <si>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</si>
  <si>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</si>
  <si>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</si>
  <si>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</si>
  <si>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</si>
  <si>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</si>
  <si>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</si>
  <si>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philipperoudil@horizal.com</t>
  </si>
  <si>
    <t>lioneldelange@horizal.com</t>
  </si>
  <si>
    <t>yannnoblet@horizal.com</t>
  </si>
  <si>
    <t>dominiquegirard@horizal.com</t>
  </si>
  <si>
    <t>frederictarel@horizal.com</t>
  </si>
  <si>
    <t>olivierrinaldi@horizal.com</t>
  </si>
  <si>
    <t>mail</t>
  </si>
  <si>
    <t>hervedemeulemeester@horizal.com</t>
  </si>
  <si>
    <r>
      <t xml:space="preserve">Module </t>
    </r>
    <r>
      <rPr>
        <b/>
        <sz val="10"/>
        <rFont val="Arial"/>
        <family val="2"/>
      </rPr>
      <t xml:space="preserve">MODURAL CONCEPT </t>
    </r>
    <r>
      <rPr>
        <sz val="11"/>
        <color theme="1"/>
        <rFont val="Calibri"/>
        <family val="2"/>
        <scheme val="minor"/>
      </rPr>
      <t>Hauteur 1010 mm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(réf : 95970)</t>
    </r>
  </si>
  <si>
    <t>(1 raccord lisse haute + 1 raccord lisse basse)</t>
  </si>
  <si>
    <t>(1 raccord angle 90° lisse haute + 2 embouts lisse basse)</t>
  </si>
  <si>
    <t>(1 raccord angle 155° à 179° lisse haute + 1 raccord angle 80° à 154° lisse haute + 2 embouts lisse basse)</t>
  </si>
  <si>
    <t>(1 embout lisse haute + 1 embout lisse basse)</t>
  </si>
  <si>
    <r>
      <t>Ral</t>
    </r>
    <r>
      <rPr>
        <sz val="10.5"/>
        <color rgb="FF000000"/>
        <rFont val="Open Sans"/>
        <family val="2"/>
      </rPr>
      <t xml:space="preserve"> </t>
    </r>
  </si>
  <si>
    <t>Merci de renseigner la teinte RAL :</t>
  </si>
  <si>
    <t>RAL :</t>
  </si>
  <si>
    <t>le 01/10/22</t>
  </si>
  <si>
    <t>Arnaud DROULEZ</t>
  </si>
  <si>
    <t>arnauddroulez@horizal.com</t>
  </si>
  <si>
    <t xml:space="preserve">Capot de main courante (15x80mm) -                     </t>
  </si>
  <si>
    <t xml:space="preserve">   lg = 6500mm  (réf 95972)</t>
  </si>
  <si>
    <t xml:space="preserve">Finition : </t>
  </si>
  <si>
    <t>BRUT</t>
  </si>
  <si>
    <t>Teinte :</t>
  </si>
  <si>
    <t>(C9) noir</t>
  </si>
  <si>
    <t>Teinte : C9 (teinte noire)</t>
  </si>
  <si>
    <r>
      <t xml:space="preserve">Notice de pose </t>
    </r>
    <r>
      <rPr>
        <b/>
        <sz val="10"/>
        <rFont val="Arial"/>
        <family val="2"/>
      </rPr>
      <t>(95891)</t>
    </r>
  </si>
  <si>
    <t>Téléchargez la notice de pose :</t>
  </si>
  <si>
    <t>ECO-CONTRIBUTION *</t>
  </si>
  <si>
    <t>Produit</t>
  </si>
  <si>
    <t>Code</t>
  </si>
  <si>
    <t>Qté (ml)</t>
  </si>
  <si>
    <t>Px unité</t>
  </si>
  <si>
    <t>Px total</t>
  </si>
  <si>
    <t>Garde-corps</t>
  </si>
  <si>
    <t>TOTAL ECO-CONTRIBUTION</t>
  </si>
  <si>
    <t>*Selon la loi n°2020-105 du 10/02/2020 relative à la lutte contre le gaspillage et à l'économie circulaire</t>
  </si>
  <si>
    <t>Réservé à la mise en œuvre dans des lieux d’habitations résidentielles et logements collectifs (cat A)</t>
  </si>
  <si>
    <r>
      <rPr>
        <b/>
        <sz val="10"/>
        <rFont val="Arial"/>
        <family val="2"/>
      </rPr>
      <t>Module = 1468mm</t>
    </r>
    <r>
      <rPr>
        <i/>
        <u/>
        <sz val="9"/>
        <rFont val="Arial"/>
        <family val="2"/>
      </rPr>
      <t xml:space="preserve"> (livré avec trois perçages destinés au fixations).</t>
    </r>
  </si>
  <si>
    <r>
      <t>Finition</t>
    </r>
    <r>
      <rPr>
        <sz val="10.5"/>
        <color rgb="FF000000"/>
        <rFont val="Open Sans"/>
        <family val="2"/>
      </rPr>
      <t xml:space="preserve"> </t>
    </r>
  </si>
  <si>
    <t xml:space="preserve">Mat </t>
  </si>
  <si>
    <t xml:space="preserve">toto </t>
  </si>
  <si>
    <t xml:space="preserve">horizal </t>
  </si>
  <si>
    <t xml:space="preserve">174 route de lyon </t>
  </si>
  <si>
    <t xml:space="preserve">bourgoin jallieu </t>
  </si>
  <si>
    <t xml:space="preserve">laurent </t>
  </si>
  <si>
    <t xml:space="preserve">laurentdelhorme@horizal.com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</si>
</sst>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_ &quot;  €&quot;"/>
    <numFmt numFmtId="165" formatCode="#\ ##0.00_ &quot;€&quot;"/>
    <numFmt numFmtId="166" formatCode="0.00_ &quot; mètre(s)  à&quot;"/>
    <numFmt numFmtId="167" formatCode="0.00_ &quot;€ Ht/ml&quot;"/>
    <numFmt numFmtId="168" formatCode="#,##0.00\ &quot;€&quot;"/>
    <numFmt numFmtId="169" formatCode="0#&quot; &quot;##&quot; &quot;##&quot; &quot;##&quot; &quot;##"/>
  </numFmts>
  <fonts count="3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u/>
      <sz val="12"/>
      <name val="Arial"/>
      <family val="2"/>
    </font>
    <font>
      <sz val="9"/>
      <name val="Arial"/>
      <family val="2"/>
    </font>
    <font>
      <u/>
      <sz val="10"/>
      <name val="Arial"/>
      <family val="2"/>
    </font>
    <font>
      <b/>
      <sz val="10"/>
      <color indexed="8"/>
      <name val="Arial"/>
      <family val="2"/>
    </font>
    <font>
      <sz val="10.5"/>
      <color rgb="FF999999"/>
      <name val="Open Sans"/>
      <family val="2"/>
    </font>
    <font>
      <sz val="10.5"/>
      <color rgb="FF000000"/>
      <name val="Open Sans"/>
      <family val="2"/>
    </font>
    <font>
      <sz val="12"/>
      <color rgb="FF000000"/>
      <name val="Open Sans"/>
      <family val="2"/>
    </font>
    <font>
      <b/>
      <sz val="9"/>
      <name val="Arial"/>
      <family val="2"/>
    </font>
    <font>
      <i/>
      <u/>
      <sz val="10"/>
      <name val="Arial"/>
      <family val="2"/>
    </font>
    <font>
      <sz val="10"/>
      <color rgb="FF000000"/>
      <name val="Arial"/>
      <family val="2"/>
    </font>
    <font>
      <sz val="16"/>
      <name val="Calibri"/>
      <family val="2"/>
      <scheme val="minor"/>
    </font>
    <font>
      <i/>
      <sz val="16"/>
      <name val="Calibri"/>
      <family val="2"/>
      <scheme val="minor"/>
    </font>
    <font>
      <sz val="12"/>
      <name val="Calibri"/>
      <family val="2"/>
      <scheme val="minor"/>
    </font>
    <font>
      <i/>
      <sz val="12"/>
      <name val="Calibri"/>
      <family val="2"/>
      <scheme val="minor"/>
    </font>
    <font>
      <b/>
      <sz val="18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i/>
      <sz val="9"/>
      <name val="Arial"/>
      <family val="2"/>
    </font>
    <font>
      <i/>
      <sz val="8"/>
      <name val="Arial"/>
      <family val="2"/>
    </font>
    <font>
      <b/>
      <i/>
      <u/>
      <sz val="10"/>
      <name val="Arial"/>
      <family val="2"/>
    </font>
    <font>
      <b/>
      <i/>
      <u/>
      <sz val="9"/>
      <name val="Arial"/>
      <family val="2"/>
    </font>
    <font>
      <b/>
      <i/>
      <u/>
      <sz val="8"/>
      <name val="Arial"/>
      <family val="2"/>
    </font>
    <font>
      <i/>
      <u/>
      <sz val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19" fillId="0" borderId="0" applyNumberFormat="0" applyBorder="0" applyProtection="0"/>
    <xf numFmtId="0" fontId="6" fillId="0" borderId="0"/>
  </cellStyleXfs>
  <cellXfs count="188">
    <xf numFmtId="0" fontId="0" fillId="0" borderId="0" xfId="0"/>
    <xf numFmtId="164" fontId="7" fillId="0" borderId="0" xfId="2" applyNumberFormat="1" applyFont="1" applyAlignment="1" applyProtection="1">
      <alignment horizontal="left"/>
      <protection locked="0"/>
    </xf>
    <xf numFmtId="0" fontId="7" fillId="0" borderId="0" xfId="2" applyFont="1" applyProtection="1">
      <protection locked="0"/>
    </xf>
    <xf numFmtId="0" fontId="6" fillId="0" borderId="0" xfId="2" applyAlignment="1" applyProtection="1">
      <alignment horizontal="left"/>
      <protection locked="0"/>
    </xf>
    <xf numFmtId="0" fontId="7" fillId="0" borderId="1" xfId="2" applyFont="1" applyBorder="1" applyAlignment="1" applyProtection="1">
      <alignment horizontal="left"/>
      <protection locked="0"/>
    </xf>
    <xf numFmtId="165" fontId="6" fillId="0" borderId="0" xfId="2" applyNumberFormat="1" applyAlignment="1" applyProtection="1">
      <alignment horizontal="center"/>
      <protection locked="0"/>
    </xf>
    <xf numFmtId="0" fontId="6" fillId="0" borderId="0" xfId="2" applyAlignment="1" applyProtection="1">
      <alignment horizontal="center"/>
      <protection locked="0"/>
    </xf>
    <xf numFmtId="0" fontId="6" fillId="0" borderId="0" xfId="2" applyAlignment="1">
      <alignment horizontal="left" vertical="center"/>
    </xf>
    <xf numFmtId="0" fontId="6" fillId="0" borderId="0" xfId="2" applyAlignment="1">
      <alignment horizontal="left"/>
    </xf>
    <xf numFmtId="0" fontId="7" fillId="0" borderId="7" xfId="2" applyFont="1" applyBorder="1" applyAlignment="1" applyProtection="1">
      <alignment horizontal="left"/>
      <protection locked="0"/>
    </xf>
    <xf numFmtId="0" fontId="6" fillId="0" borderId="0" xfId="2" applyAlignment="1" applyProtection="1">
      <alignment horizontal="right"/>
      <protection locked="0"/>
    </xf>
    <xf numFmtId="0" fontId="7" fillId="0" borderId="0" xfId="2" applyFont="1" applyAlignment="1">
      <alignment horizontal="left" vertical="center"/>
    </xf>
    <xf numFmtId="0" fontId="7" fillId="0" borderId="0" xfId="2" applyFont="1" applyAlignment="1" applyProtection="1">
      <alignment horizontal="center"/>
      <protection locked="0"/>
    </xf>
    <xf numFmtId="0" fontId="8" fillId="0" borderId="0" xfId="2" applyFont="1" applyAlignment="1" applyProtection="1">
      <alignment horizontal="left"/>
      <protection locked="0"/>
    </xf>
    <xf numFmtId="0" fontId="6" fillId="0" borderId="0" xfId="2" applyAlignment="1" applyProtection="1">
      <alignment horizontal="center" vertical="center"/>
      <protection locked="0"/>
    </xf>
    <xf numFmtId="0" fontId="9" fillId="0" borderId="0" xfId="2" applyFont="1" applyAlignment="1" applyProtection="1">
      <alignment horizontal="left"/>
      <protection locked="0"/>
    </xf>
    <xf numFmtId="164" fontId="6" fillId="0" borderId="0" xfId="2" applyNumberFormat="1" applyAlignment="1" applyProtection="1">
      <alignment horizontal="center"/>
      <protection locked="0"/>
    </xf>
    <xf numFmtId="0" fontId="6" fillId="0" borderId="0" xfId="2"/>
    <xf numFmtId="164" fontId="7" fillId="0" borderId="11" xfId="2" applyNumberFormat="1" applyFont="1" applyBorder="1" applyAlignment="1" applyProtection="1">
      <alignment horizontal="center"/>
      <protection locked="0"/>
    </xf>
    <xf numFmtId="0" fontId="6" fillId="0" borderId="7" xfId="2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left"/>
      <protection locked="0"/>
    </xf>
    <xf numFmtId="164" fontId="6" fillId="0" borderId="6" xfId="2" applyNumberFormat="1" applyBorder="1" applyAlignment="1" applyProtection="1">
      <alignment horizontal="center"/>
      <protection locked="0"/>
    </xf>
    <xf numFmtId="0" fontId="6" fillId="0" borderId="12" xfId="2" applyBorder="1" applyAlignment="1" applyProtection="1">
      <alignment horizontal="left"/>
      <protection locked="0"/>
    </xf>
    <xf numFmtId="0" fontId="7" fillId="0" borderId="0" xfId="2" applyFont="1" applyAlignment="1" applyProtection="1">
      <alignment horizontal="left"/>
      <protection locked="0"/>
    </xf>
    <xf numFmtId="164" fontId="6" fillId="0" borderId="13" xfId="2" applyNumberFormat="1" applyBorder="1" applyAlignment="1" applyProtection="1">
      <alignment horizontal="center"/>
      <protection locked="0"/>
    </xf>
    <xf numFmtId="0" fontId="6" fillId="0" borderId="13" xfId="2" applyBorder="1" applyAlignment="1" applyProtection="1">
      <alignment horizontal="center"/>
      <protection locked="0"/>
    </xf>
    <xf numFmtId="0" fontId="6" fillId="0" borderId="14" xfId="2" applyBorder="1" applyAlignment="1" applyProtection="1">
      <alignment horizontal="left"/>
      <protection locked="0"/>
    </xf>
    <xf numFmtId="0" fontId="6" fillId="0" borderId="15" xfId="2" applyBorder="1" applyAlignment="1" applyProtection="1">
      <alignment horizontal="left"/>
      <protection locked="0"/>
    </xf>
    <xf numFmtId="164" fontId="6" fillId="0" borderId="16" xfId="2" applyNumberFormat="1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left"/>
      <protection locked="0"/>
    </xf>
    <xf numFmtId="0" fontId="6" fillId="0" borderId="9" xfId="2" applyBorder="1" applyAlignment="1" applyProtection="1">
      <alignment horizontal="left"/>
      <protection locked="0"/>
    </xf>
    <xf numFmtId="0" fontId="6" fillId="0" borderId="17" xfId="2" applyBorder="1" applyAlignment="1" applyProtection="1">
      <alignment horizontal="left"/>
      <protection locked="0"/>
    </xf>
    <xf numFmtId="0" fontId="6" fillId="0" borderId="18" xfId="2" applyBorder="1" applyAlignment="1" applyProtection="1">
      <alignment horizontal="left"/>
      <protection locked="0"/>
    </xf>
    <xf numFmtId="164" fontId="6" fillId="0" borderId="19" xfId="2" applyNumberFormat="1" applyBorder="1" applyAlignment="1" applyProtection="1">
      <alignment horizontal="center"/>
      <protection locked="0"/>
    </xf>
    <xf numFmtId="0" fontId="11" fillId="0" borderId="0" xfId="2" applyFont="1" applyAlignment="1" applyProtection="1">
      <alignment horizontal="left"/>
      <protection locked="0"/>
    </xf>
    <xf numFmtId="0" fontId="6" fillId="0" borderId="20" xfId="2" applyBorder="1" applyAlignment="1" applyProtection="1">
      <alignment horizontal="left"/>
      <protection locked="0"/>
    </xf>
    <xf numFmtId="0" fontId="6" fillId="0" borderId="21" xfId="2" applyBorder="1" applyAlignment="1" applyProtection="1">
      <alignment horizontal="left"/>
      <protection locked="0"/>
    </xf>
    <xf numFmtId="164" fontId="6" fillId="0" borderId="22" xfId="2" applyNumberFormat="1" applyBorder="1" applyAlignment="1" applyProtection="1">
      <alignment horizontal="center"/>
      <protection locked="0"/>
    </xf>
    <xf numFmtId="165" fontId="7" fillId="0" borderId="1" xfId="2" applyNumberFormat="1" applyFont="1" applyBorder="1" applyAlignment="1">
      <alignment horizontal="right"/>
    </xf>
    <xf numFmtId="0" fontId="12" fillId="0" borderId="7" xfId="2" applyFont="1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center"/>
      <protection locked="0"/>
    </xf>
    <xf numFmtId="0" fontId="6" fillId="0" borderId="6" xfId="2" applyBorder="1" applyAlignment="1" applyProtection="1">
      <alignment horizontal="center"/>
      <protection locked="0"/>
    </xf>
    <xf numFmtId="0" fontId="13" fillId="0" borderId="12" xfId="2" applyFont="1" applyBorder="1" applyAlignment="1" applyProtection="1">
      <alignment horizontal="left" vertical="top"/>
      <protection locked="0"/>
    </xf>
    <xf numFmtId="0" fontId="6" fillId="0" borderId="13" xfId="2" applyBorder="1" applyAlignment="1">
      <alignment horizontal="left" vertical="top"/>
    </xf>
    <xf numFmtId="0" fontId="13" fillId="0" borderId="12" xfId="2" applyFont="1" applyBorder="1" applyAlignment="1">
      <alignment horizontal="left" vertical="top"/>
    </xf>
    <xf numFmtId="0" fontId="6" fillId="0" borderId="9" xfId="2" applyBorder="1" applyAlignment="1">
      <alignment horizontal="left" vertical="top"/>
    </xf>
    <xf numFmtId="0" fontId="6" fillId="0" borderId="10" xfId="2" applyBorder="1" applyAlignment="1">
      <alignment horizontal="left" vertical="top"/>
    </xf>
    <xf numFmtId="0" fontId="6" fillId="0" borderId="7" xfId="2" applyBorder="1" applyAlignment="1" applyProtection="1">
      <alignment horizontal="center"/>
      <protection locked="0"/>
    </xf>
    <xf numFmtId="0" fontId="6" fillId="0" borderId="12" xfId="2" applyBorder="1"/>
    <xf numFmtId="0" fontId="6" fillId="0" borderId="13" xfId="2" applyBorder="1"/>
    <xf numFmtId="0" fontId="6" fillId="0" borderId="12" xfId="2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center"/>
      <protection locked="0"/>
    </xf>
    <xf numFmtId="0" fontId="6" fillId="0" borderId="9" xfId="2" applyBorder="1" applyAlignment="1" applyProtection="1">
      <alignment horizontal="center"/>
      <protection locked="0"/>
    </xf>
    <xf numFmtId="0" fontId="6" fillId="0" borderId="10" xfId="2" applyBorder="1" applyAlignment="1" applyProtection="1">
      <alignment horizontal="center"/>
      <protection locked="0"/>
    </xf>
    <xf numFmtId="4" fontId="6" fillId="0" borderId="0" xfId="2" applyNumberFormat="1" applyAlignment="1" applyProtection="1">
      <alignment horizontal="center"/>
      <protection locked="0"/>
    </xf>
    <xf numFmtId="0" fontId="4" fillId="0" borderId="0" xfId="1" applyAlignment="1" applyProtection="1">
      <alignment horizontal="left"/>
      <protection locked="0"/>
    </xf>
    <xf numFmtId="49" fontId="6" fillId="0" borderId="0" xfId="2" applyNumberFormat="1" applyAlignment="1" applyProtection="1">
      <alignment horizontal="left"/>
      <protection locked="0"/>
    </xf>
    <xf numFmtId="169" fontId="6" fillId="0" borderId="0" xfId="2" applyNumberFormat="1" applyAlignment="1" applyProtection="1">
      <alignment horizontal="left"/>
      <protection locked="0"/>
    </xf>
    <xf numFmtId="1" fontId="20" fillId="0" borderId="24" xfId="3" applyNumberFormat="1" applyFont="1" applyBorder="1" applyAlignment="1">
      <alignment horizontal="center" vertical="center"/>
    </xf>
    <xf numFmtId="1" fontId="21" fillId="0" borderId="24" xfId="3" applyNumberFormat="1" applyFont="1" applyBorder="1" applyAlignment="1">
      <alignment horizontal="center" vertical="center"/>
    </xf>
    <xf numFmtId="1" fontId="21" fillId="0" borderId="25" xfId="3" applyNumberFormat="1" applyFont="1" applyBorder="1" applyAlignment="1">
      <alignment horizontal="center" vertical="center"/>
    </xf>
    <xf numFmtId="1" fontId="21" fillId="0" borderId="2" xfId="3" applyNumberFormat="1" applyFont="1" applyBorder="1" applyAlignment="1">
      <alignment horizontal="center" vertical="center"/>
    </xf>
    <xf numFmtId="1" fontId="21" fillId="6" borderId="23" xfId="3" applyNumberFormat="1" applyFont="1" applyFill="1" applyBorder="1" applyAlignment="1">
      <alignment horizontal="center" vertical="center"/>
    </xf>
    <xf numFmtId="0" fontId="20" fillId="0" borderId="0" xfId="4" applyFont="1"/>
    <xf numFmtId="1" fontId="22" fillId="2" borderId="24" xfId="3" applyNumberFormat="1" applyFont="1" applyFill="1" applyBorder="1" applyAlignment="1">
      <alignment horizontal="left" vertical="center" indent="1"/>
    </xf>
    <xf numFmtId="1" fontId="23" fillId="2" borderId="24" xfId="3" applyNumberFormat="1" applyFont="1" applyFill="1" applyBorder="1" applyAlignment="1">
      <alignment horizontal="center" vertical="center"/>
    </xf>
    <xf numFmtId="1" fontId="23" fillId="2" borderId="25" xfId="3" applyNumberFormat="1" applyFont="1" applyFill="1" applyBorder="1" applyAlignment="1">
      <alignment horizontal="center" vertical="center"/>
    </xf>
    <xf numFmtId="1" fontId="23" fillId="2" borderId="1" xfId="3" applyNumberFormat="1" applyFont="1" applyFill="1" applyBorder="1" applyAlignment="1">
      <alignment horizontal="center" vertical="center"/>
    </xf>
    <xf numFmtId="1" fontId="23" fillId="0" borderId="0" xfId="3" applyNumberFormat="1" applyFont="1" applyAlignment="1">
      <alignment horizontal="center" vertical="center"/>
    </xf>
    <xf numFmtId="1" fontId="24" fillId="0" borderId="0" xfId="3" applyNumberFormat="1" applyFont="1" applyAlignment="1">
      <alignment horizontal="center" vertical="center"/>
    </xf>
    <xf numFmtId="0" fontId="22" fillId="0" borderId="0" xfId="4" applyFont="1"/>
    <xf numFmtId="1" fontId="22" fillId="0" borderId="24" xfId="3" applyNumberFormat="1" applyFont="1" applyBorder="1" applyAlignment="1">
      <alignment horizontal="left" vertical="center" indent="1"/>
    </xf>
    <xf numFmtId="1" fontId="23" fillId="0" borderId="24" xfId="3" applyNumberFormat="1" applyFont="1" applyBorder="1" applyAlignment="1">
      <alignment horizontal="center" vertical="center"/>
    </xf>
    <xf numFmtId="1" fontId="23" fillId="0" borderId="25" xfId="3" applyNumberFormat="1" applyFont="1" applyBorder="1" applyAlignment="1">
      <alignment horizontal="center" vertical="center"/>
    </xf>
    <xf numFmtId="1" fontId="23" fillId="0" borderId="1" xfId="3" applyNumberFormat="1" applyFont="1" applyBorder="1" applyAlignment="1">
      <alignment horizontal="center" vertical="center"/>
    </xf>
    <xf numFmtId="0" fontId="22" fillId="2" borderId="24" xfId="4" applyFont="1" applyFill="1" applyBorder="1" applyAlignment="1">
      <alignment horizontal="left" indent="1"/>
    </xf>
    <xf numFmtId="0" fontId="22" fillId="2" borderId="24" xfId="4" applyFont="1" applyFill="1" applyBorder="1" applyAlignment="1">
      <alignment horizontal="left" wrapText="1" indent="1"/>
    </xf>
    <xf numFmtId="1" fontId="22" fillId="0" borderId="0" xfId="3" applyNumberFormat="1" applyFont="1" applyAlignment="1">
      <alignment horizontal="center" vertical="center"/>
    </xf>
    <xf numFmtId="0" fontId="23" fillId="0" borderId="0" xfId="4" applyFont="1" applyAlignment="1">
      <alignment horizontal="left" indent="1"/>
    </xf>
    <xf numFmtId="0" fontId="23" fillId="0" borderId="0" xfId="4" applyFont="1" applyAlignment="1">
      <alignment horizontal="center"/>
    </xf>
    <xf numFmtId="0" fontId="22" fillId="0" borderId="0" xfId="4" applyFont="1" applyAlignment="1">
      <alignment horizontal="center"/>
    </xf>
    <xf numFmtId="49" fontId="22" fillId="2" borderId="24" xfId="3" applyNumberFormat="1" applyFont="1" applyFill="1" applyBorder="1" applyAlignment="1">
      <alignment horizontal="center" vertical="center"/>
    </xf>
    <xf numFmtId="49" fontId="22" fillId="0" borderId="24" xfId="3" applyNumberFormat="1" applyFont="1" applyBorder="1" applyAlignment="1">
      <alignment horizontal="center" vertical="center"/>
    </xf>
    <xf numFmtId="2" fontId="0" fillId="0" borderId="0" xfId="0" applyNumberFormat="1"/>
    <xf numFmtId="2" fontId="23" fillId="0" borderId="0" xfId="4" applyNumberFormat="1" applyFont="1" applyAlignment="1">
      <alignment horizontal="center"/>
    </xf>
    <xf numFmtId="49" fontId="21" fillId="5" borderId="23" xfId="3" applyNumberFormat="1" applyFont="1" applyFill="1" applyBorder="1" applyAlignment="1">
      <alignment horizontal="center" vertical="center"/>
    </xf>
    <xf numFmtId="1" fontId="21" fillId="0" borderId="0" xfId="3" applyNumberFormat="1" applyFont="1" applyBorder="1" applyAlignment="1">
      <alignment horizontal="center" vertical="center"/>
    </xf>
    <xf numFmtId="1" fontId="23" fillId="2" borderId="0" xfId="3" applyNumberFormat="1" applyFont="1" applyFill="1" applyBorder="1" applyAlignment="1">
      <alignment horizontal="center" vertical="center"/>
    </xf>
    <xf numFmtId="1" fontId="4" fillId="2" borderId="0" xfId="1" applyNumberFormat="1" applyFill="1" applyBorder="1" applyAlignment="1">
      <alignment horizontal="center" vertical="center"/>
    </xf>
    <xf numFmtId="1" fontId="4" fillId="0" borderId="0" xfId="1" applyNumberFormat="1" applyBorder="1" applyAlignment="1">
      <alignment horizontal="center" vertical="center"/>
    </xf>
    <xf numFmtId="1" fontId="23" fillId="0" borderId="0" xfId="3" applyNumberFormat="1" applyFont="1" applyAlignment="1">
      <alignment horizontal="left" vertical="center"/>
    </xf>
    <xf numFmtId="0" fontId="28" fillId="0" borderId="0" xfId="2" applyFont="1" applyAlignment="1" applyProtection="1">
      <alignment horizontal="left"/>
      <protection locked="0"/>
    </xf>
    <xf numFmtId="0" fontId="29" fillId="0" borderId="0" xfId="2" applyFont="1" applyAlignment="1" applyProtection="1">
      <alignment horizontal="left"/>
      <protection locked="0"/>
    </xf>
    <xf numFmtId="0" fontId="18" fillId="0" borderId="0" xfId="2" applyFont="1" applyAlignment="1" applyProtection="1">
      <alignment horizontal="left"/>
      <protection locked="0"/>
    </xf>
    <xf numFmtId="166" fontId="6" fillId="0" borderId="0" xfId="2" applyNumberFormat="1" applyProtection="1">
      <protection locked="0"/>
    </xf>
    <xf numFmtId="0" fontId="6" fillId="0" borderId="0" xfId="2" applyAlignment="1">
      <alignment horizontal="right"/>
    </xf>
    <xf numFmtId="168" fontId="6" fillId="0" borderId="0" xfId="2" applyNumberFormat="1" applyAlignment="1" applyProtection="1">
      <alignment horizontal="right"/>
      <protection locked="0"/>
    </xf>
    <xf numFmtId="0" fontId="18" fillId="0" borderId="12" xfId="2" applyFont="1" applyBorder="1" applyAlignment="1" applyProtection="1">
      <alignment horizontal="left"/>
      <protection locked="0"/>
    </xf>
    <xf numFmtId="165" fontId="6" fillId="0" borderId="26" xfId="2" applyNumberFormat="1" applyBorder="1" applyAlignment="1" applyProtection="1">
      <alignment horizontal="center"/>
      <protection locked="0"/>
    </xf>
    <xf numFmtId="0" fontId="6" fillId="7" borderId="0" xfId="2" applyFill="1" applyAlignment="1" applyProtection="1">
      <alignment horizontal="center"/>
      <protection locked="0"/>
    </xf>
    <xf numFmtId="0" fontId="17" fillId="0" borderId="0" xfId="2" applyFont="1" applyAlignment="1" applyProtection="1">
      <alignment horizontal="left"/>
      <protection locked="0"/>
    </xf>
    <xf numFmtId="0" fontId="30" fillId="0" borderId="0" xfId="2" applyFont="1" applyAlignment="1" applyProtection="1">
      <alignment horizontal="left"/>
      <protection locked="0"/>
    </xf>
    <xf numFmtId="0" fontId="7" fillId="0" borderId="0" xfId="2" applyFont="1" applyAlignment="1" applyProtection="1">
      <alignment horizontal="right"/>
      <protection locked="0"/>
    </xf>
    <xf numFmtId="164" fontId="6" fillId="0" borderId="26" xfId="2" applyNumberFormat="1" applyBorder="1" applyAlignment="1" applyProtection="1">
      <alignment horizontal="center"/>
      <protection locked="0"/>
    </xf>
    <xf numFmtId="0" fontId="31" fillId="0" borderId="0" xfId="2" applyFont="1" applyAlignment="1" applyProtection="1">
      <alignment horizontal="left"/>
      <protection locked="0"/>
    </xf>
    <xf numFmtId="0" fontId="0" fillId="0" borderId="7" xfId="0" applyBorder="1" applyAlignment="1" applyProtection="1">
      <alignment horizontal="left"/>
      <protection locked="0"/>
    </xf>
    <xf numFmtId="0" fontId="0" fillId="0" borderId="5" xfId="0" applyBorder="1" applyAlignment="1" applyProtection="1">
      <alignment horizontal="left"/>
      <protection locked="0"/>
    </xf>
    <xf numFmtId="164" fontId="0" fillId="0" borderId="11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0" fillId="0" borderId="27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right"/>
      <protection locked="0"/>
    </xf>
    <xf numFmtId="0" fontId="0" fillId="0" borderId="20" xfId="0" applyBorder="1" applyAlignment="1" applyProtection="1">
      <alignment horizontal="left"/>
      <protection locked="0"/>
    </xf>
    <xf numFmtId="0" fontId="0" fillId="0" borderId="21" xfId="0" applyBorder="1" applyAlignment="1" applyProtection="1">
      <alignment horizontal="left"/>
      <protection locked="0"/>
    </xf>
    <xf numFmtId="164" fontId="0" fillId="0" borderId="28" xfId="0" applyNumberFormat="1" applyBorder="1" applyAlignment="1" applyProtection="1">
      <alignment horizontal="center"/>
      <protection locked="0"/>
    </xf>
    <xf numFmtId="0" fontId="6" fillId="0" borderId="0" xfId="2" applyAlignment="1">
      <alignment horizontal="left" vertical="top"/>
    </xf>
    <xf numFmtId="0" fontId="13" fillId="0" borderId="8" xfId="2" applyFont="1" applyBorder="1" applyAlignment="1">
      <alignment horizontal="left" vertical="top"/>
    </xf>
    <xf numFmtId="0" fontId="6" fillId="0" borderId="3" xfId="2" applyBorder="1" applyAlignment="1" applyProtection="1">
      <alignment horizontal="left"/>
      <protection locked="0"/>
    </xf>
    <xf numFmtId="0" fontId="4" fillId="0" borderId="0" xfId="1" applyProtection="1"/>
    <xf numFmtId="0" fontId="4" fillId="0" borderId="0" xfId="1" applyAlignment="1" applyProtection="1">
      <alignment horizontal="left" vertical="center" wrapText="1" indent="2"/>
    </xf>
    <xf numFmtId="1" fontId="4" fillId="0" borderId="0" xfId="1" applyNumberFormat="1" applyAlignment="1" applyProtection="1">
      <alignment horizontal="left" vertical="center" wrapText="1" indent="2"/>
    </xf>
    <xf numFmtId="49" fontId="4" fillId="0" borderId="0" xfId="1" applyNumberFormat="1" applyProtection="1"/>
    <xf numFmtId="49" fontId="22" fillId="3" borderId="0" xfId="3" applyNumberFormat="1" applyFont="1" applyFill="1" applyBorder="1" applyAlignment="1" applyProtection="1">
      <alignment horizontal="left" vertical="center"/>
    </xf>
    <xf numFmtId="165" fontId="7" fillId="0" borderId="11" xfId="2" applyNumberFormat="1" applyFont="1" applyBorder="1" applyAlignment="1">
      <alignment horizontal="right"/>
    </xf>
    <xf numFmtId="0" fontId="8" fillId="0" borderId="8" xfId="2" quotePrefix="1" applyFont="1" applyBorder="1" applyAlignment="1" applyProtection="1">
      <alignment horizontal="center" vertical="center"/>
      <protection locked="0"/>
    </xf>
    <xf numFmtId="0" fontId="14" fillId="0" borderId="0" xfId="0" applyFont="1" applyAlignment="1">
      <alignment horizontal="left" vertical="center" wrapText="1" indent="2"/>
    </xf>
    <xf numFmtId="0" fontId="16" fillId="0" borderId="0" xfId="0" applyFont="1" applyAlignment="1">
      <alignment horizontal="left" vertical="center" wrapText="1" indent="2"/>
    </xf>
    <xf numFmtId="0" fontId="0" fillId="0" borderId="0" xfId="0" applyAlignment="1">
      <alignment vertical="top"/>
    </xf>
    <xf numFmtId="0" fontId="16" fillId="0" borderId="0" xfId="0" applyFont="1"/>
    <xf numFmtId="0" fontId="26" fillId="0" borderId="0" xfId="0" applyFont="1"/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49" fontId="0" fillId="0" borderId="0" xfId="0" applyNumberFormat="1"/>
    <xf numFmtId="0" fontId="0" fillId="0" borderId="1" xfId="0" applyBorder="1" applyAlignment="1">
      <alignment horizontal="left" vertical="center"/>
    </xf>
    <xf numFmtId="0" fontId="5" fillId="0" borderId="0" xfId="0" applyFont="1"/>
    <xf numFmtId="0" fontId="0" fillId="2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32" fillId="0" borderId="0" xfId="0" applyFont="1"/>
    <xf numFmtId="0" fontId="4" fillId="0" borderId="0" xfId="1" applyAlignment="1">
      <alignment horizontal="left" vertical="center" wrapText="1" indent="2"/>
    </xf>
    <xf numFmtId="0" fontId="0" fillId="4" borderId="1" xfId="0" applyFill="1" applyBorder="1" applyAlignment="1">
      <alignment horizontal="left"/>
    </xf>
    <xf numFmtId="0" fontId="5" fillId="3" borderId="0" xfId="0" applyFont="1" applyFill="1" applyAlignment="1">
      <alignment horizontal="left"/>
    </xf>
    <xf numFmtId="0" fontId="0" fillId="0" borderId="0" xfId="0" applyAlignment="1">
      <alignment horizontal="center"/>
    </xf>
    <xf numFmtId="14" fontId="0" fillId="3" borderId="0" xfId="0" applyNumberFormat="1" applyFill="1" applyAlignment="1">
      <alignment horizontal="left"/>
    </xf>
    <xf numFmtId="0" fontId="0" fillId="3" borderId="0" xfId="0" applyFill="1" applyAlignment="1">
      <alignment horizontal="left"/>
    </xf>
    <xf numFmtId="49" fontId="0" fillId="3" borderId="0" xfId="0" applyNumberFormat="1" applyFill="1" applyAlignment="1">
      <alignment horizontal="left"/>
    </xf>
    <xf numFmtId="169" fontId="0" fillId="4" borderId="1" xfId="0" applyNumberFormat="1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0" fontId="4" fillId="4" borderId="1" xfId="1" applyFill="1" applyBorder="1" applyAlignment="1" applyProtection="1">
      <alignment horizontal="left"/>
    </xf>
    <xf numFmtId="0" fontId="7" fillId="0" borderId="2" xfId="2" applyFont="1" applyBorder="1" applyAlignment="1" applyProtection="1">
      <alignment horizontal="right"/>
      <protection locked="0"/>
    </xf>
    <xf numFmtId="0" fontId="0" fillId="0" borderId="3" xfId="0" applyBorder="1" applyAlignment="1">
      <alignment horizontal="right"/>
    </xf>
    <xf numFmtId="0" fontId="7" fillId="0" borderId="7" xfId="2" applyFont="1" applyBorder="1" applyAlignment="1" applyProtection="1">
      <alignment horizontal="center"/>
      <protection locked="0"/>
    </xf>
    <xf numFmtId="0" fontId="6" fillId="0" borderId="5" xfId="2" applyBorder="1"/>
    <xf numFmtId="0" fontId="6" fillId="0" borderId="6" xfId="2" applyBorder="1"/>
    <xf numFmtId="14" fontId="6" fillId="0" borderId="2" xfId="2" applyNumberFormat="1" applyBorder="1" applyAlignment="1" applyProtection="1">
      <alignment horizontal="center"/>
      <protection locked="0"/>
    </xf>
    <xf numFmtId="0" fontId="6" fillId="0" borderId="3" xfId="2" applyBorder="1" applyAlignment="1">
      <alignment horizontal="center"/>
    </xf>
    <xf numFmtId="0" fontId="6" fillId="0" borderId="4" xfId="2" applyBorder="1" applyAlignment="1">
      <alignment horizontal="center"/>
    </xf>
    <xf numFmtId="0" fontId="6" fillId="0" borderId="2" xfId="2" applyBorder="1" applyAlignment="1" applyProtection="1">
      <alignment horizontal="center"/>
      <protection locked="0"/>
    </xf>
    <xf numFmtId="0" fontId="7" fillId="0" borderId="2" xfId="2" quotePrefix="1" applyFont="1" applyBorder="1" applyAlignment="1" applyProtection="1">
      <alignment horizontal="center" vertical="center"/>
      <protection locked="0"/>
    </xf>
    <xf numFmtId="0" fontId="6" fillId="0" borderId="3" xfId="2" applyBorder="1" applyAlignment="1">
      <alignment horizontal="center" vertical="center"/>
    </xf>
    <xf numFmtId="0" fontId="6" fillId="0" borderId="4" xfId="2" applyBorder="1" applyAlignment="1">
      <alignment horizontal="center" vertical="center"/>
    </xf>
    <xf numFmtId="0" fontId="7" fillId="0" borderId="2" xfId="2" quotePrefix="1" applyFont="1" applyBorder="1" applyAlignment="1" applyProtection="1">
      <alignment horizontal="right"/>
      <protection locked="0"/>
    </xf>
    <xf numFmtId="0" fontId="26" fillId="0" borderId="3" xfId="0" applyFont="1" applyBorder="1" applyAlignment="1">
      <alignment horizontal="right"/>
    </xf>
    <xf numFmtId="0" fontId="26" fillId="0" borderId="4" xfId="0" applyFont="1" applyBorder="1" applyAlignment="1">
      <alignment horizontal="right"/>
    </xf>
    <xf numFmtId="0" fontId="0" fillId="0" borderId="4" xfId="0" applyBorder="1" applyAlignment="1">
      <alignment horizontal="right"/>
    </xf>
    <xf numFmtId="167" fontId="10" fillId="0" borderId="0" xfId="2" applyNumberFormat="1" applyFont="1" applyAlignment="1" applyProtection="1">
      <alignment horizontal="left"/>
      <protection locked="0"/>
    </xf>
    <xf numFmtId="0" fontId="6" fillId="0" borderId="0" xfId="2" applyAlignment="1">
      <alignment horizontal="left"/>
    </xf>
    <xf numFmtId="0" fontId="29" fillId="0" borderId="8" xfId="0" applyFont="1" applyBorder="1" applyAlignment="1" applyProtection="1">
      <alignment horizontal="left"/>
      <protection locked="0"/>
    </xf>
    <xf numFmtId="0" fontId="0" fillId="0" borderId="9" xfId="0" applyBorder="1"/>
    <xf numFmtId="0" fontId="0" fillId="0" borderId="10" xfId="0" applyBorder="1"/>
    <xf numFmtId="0" fontId="0" fillId="0" borderId="2" xfId="0" applyBorder="1" applyAlignment="1" applyProtection="1">
      <alignment horizontal="left"/>
      <protection locked="0"/>
    </xf>
    <xf numFmtId="0" fontId="0" fillId="0" borderId="4" xfId="0" applyBorder="1" applyAlignment="1">
      <alignment horizontal="left"/>
    </xf>
    <xf numFmtId="0" fontId="8" fillId="0" borderId="5" xfId="2" applyFont="1" applyBorder="1" applyAlignment="1" applyProtection="1">
      <alignment horizontal="center" vertical="top" wrapText="1"/>
      <protection locked="0"/>
    </xf>
    <xf numFmtId="0" fontId="8" fillId="0" borderId="5" xfId="2" applyFont="1" applyBorder="1" applyAlignment="1">
      <alignment horizontal="center" vertical="top" wrapText="1"/>
    </xf>
    <xf numFmtId="0" fontId="8" fillId="0" borderId="6" xfId="2" applyFont="1" applyBorder="1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</cellXfs>
  <cellStyles count="5">
    <cellStyle name="Lien hypertexte" xfId="1" builtinId="8"/>
    <cellStyle name="Normal" xfId="0" builtinId="0"/>
    <cellStyle name="Normal 2" xfId="2" xr:uid="{14C32189-0F43-4DB0-8100-7201702B93BC}"/>
    <cellStyle name="Normal 3" xfId="4" xr:uid="{32535990-8349-4D34-B220-50F49281FAA8}"/>
    <cellStyle name="Normal_Feuil3_1" xfId="3" xr:uid="{86B0F453-75E7-48E1-B319-FFFCA38FCEAE}"/>
  </cellStyles>
  <dxfs count="4"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 style="thin">
          <color auto="1"/>
        </top>
        <bottom/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10/relationships/person" Target="persons/person0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10/relationships/person" Target="persons/person1.xml"/><Relationship Id="rId5" Type="http://schemas.openxmlformats.org/officeDocument/2006/relationships/theme" Target="theme/theme1.xml"/><Relationship Id="rId10" Type="http://schemas.microsoft.com/office/2017/10/relationships/person" Target="persons/person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https://www.horizal.com/data/medias/1786/style/default/FERIA_-_Barreaudage_axe0.pdf" TargetMode="External"/><Relationship Id="rId18" Type="http://schemas.openxmlformats.org/officeDocument/2006/relationships/image" Target="../media/image15.svg"/><Relationship Id="rId26" Type="http://schemas.openxmlformats.org/officeDocument/2006/relationships/image" Target="../media/image22.png"/><Relationship Id="rId3" Type="http://schemas.openxmlformats.org/officeDocument/2006/relationships/image" Target="../media/image3.png"/><Relationship Id="rId21" Type="http://schemas.openxmlformats.org/officeDocument/2006/relationships/image" Target="../media/image17.svg"/><Relationship Id="rId7" Type="http://schemas.openxmlformats.org/officeDocument/2006/relationships/image" Target="../media/image7.png"/><Relationship Id="rId12" Type="http://schemas.openxmlformats.org/officeDocument/2006/relationships/image" Target="../media/image11.svg"/><Relationship Id="rId17" Type="http://schemas.openxmlformats.org/officeDocument/2006/relationships/image" Target="../media/image14.png"/><Relationship Id="rId25" Type="http://schemas.openxmlformats.org/officeDocument/2006/relationships/image" Target="../media/image21.png"/><Relationship Id="rId2" Type="http://schemas.openxmlformats.org/officeDocument/2006/relationships/image" Target="../media/image2.png"/><Relationship Id="rId16" Type="http://schemas.openxmlformats.org/officeDocument/2006/relationships/hyperlink" Target="http://configurateur.armaplus.fr/horizal/coupe/MD01-0901012401?colors_gc_metal=color_7012&amp;width=3000" TargetMode="External"/><Relationship Id="rId20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24" Type="http://schemas.openxmlformats.org/officeDocument/2006/relationships/image" Target="../media/image20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19.png"/><Relationship Id="rId28" Type="http://schemas.openxmlformats.org/officeDocument/2006/relationships/image" Target="../media/image24.png"/><Relationship Id="rId10" Type="http://schemas.openxmlformats.org/officeDocument/2006/relationships/hyperlink" Target="https://cloud.horizal.com:5203/d/s/ocoPp65efibISUDPWJG3pt4ahKyVXAdB/4beABYpxg5vNgz8jAgj5K7hvzmZcU0vP-ELgAiAbHggk" TargetMode="External"/><Relationship Id="rId19" Type="http://schemas.openxmlformats.org/officeDocument/2006/relationships/hyperlink" Target="https://cloud.horizal.com:5203/d/s/ocptjvg9jlgun0YqoT0iPHgD7EgVpZM4/YzAUHYanJx9fDwQ5apC3pvfq852B3Qe9-qLFAN8nLggk" TargetMode="External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2.png"/><Relationship Id="rId22" Type="http://schemas.openxmlformats.org/officeDocument/2006/relationships/image" Target="../media/image18.png"/><Relationship Id="rId27" Type="http://schemas.openxmlformats.org/officeDocument/2006/relationships/image" Target="../media/image2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4.png"/><Relationship Id="rId18" Type="http://schemas.openxmlformats.org/officeDocument/2006/relationships/image" Target="../media/image38.jpg"/><Relationship Id="rId3" Type="http://schemas.openxmlformats.org/officeDocument/2006/relationships/image" Target="../media/image6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17" Type="http://schemas.openxmlformats.org/officeDocument/2006/relationships/image" Target="../media/image37.png"/><Relationship Id="rId2" Type="http://schemas.openxmlformats.org/officeDocument/2006/relationships/image" Target="../media/image3.png"/><Relationship Id="rId16" Type="http://schemas.openxmlformats.org/officeDocument/2006/relationships/hyperlink" Target="https://www.modural.com/t%C3%A9l%C3%A9chargement.html" TargetMode="External"/><Relationship Id="rId1" Type="http://schemas.openxmlformats.org/officeDocument/2006/relationships/image" Target="../media/image25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18.png"/><Relationship Id="rId15" Type="http://schemas.openxmlformats.org/officeDocument/2006/relationships/image" Target="../media/image36.png"/><Relationship Id="rId10" Type="http://schemas.openxmlformats.org/officeDocument/2006/relationships/image" Target="../media/image31.png"/><Relationship Id="rId4" Type="http://schemas.openxmlformats.org/officeDocument/2006/relationships/image" Target="../media/image26.png"/><Relationship Id="rId9" Type="http://schemas.openxmlformats.org/officeDocument/2006/relationships/image" Target="../media/image30.png"/><Relationship Id="rId14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41414</xdr:colOff>
      <xdr:row>53</xdr:row>
      <xdr:rowOff>24849</xdr:rowOff>
    </xdr:from>
    <xdr:to>
      <xdr:col>6</xdr:col>
      <xdr:colOff>534865</xdr:colOff>
      <xdr:row>59</xdr:row>
      <xdr:rowOff>26798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14" y="19074849"/>
          <a:ext cx="5756412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282555</xdr:colOff>
      <xdr:row>56</xdr:row>
      <xdr:rowOff>108266</xdr:rowOff>
    </xdr:from>
    <xdr:to>
      <xdr:col>3</xdr:col>
      <xdr:colOff>383602</xdr:colOff>
      <xdr:row>58</xdr:row>
      <xdr:rowOff>32657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555" y="19729766"/>
          <a:ext cx="2850873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>
    <xdr:from>
      <xdr:col>1</xdr:col>
      <xdr:colOff>5952</xdr:colOff>
      <xdr:row>71</xdr:row>
      <xdr:rowOff>186013</xdr:rowOff>
    </xdr:from>
    <xdr:to>
      <xdr:col>1</xdr:col>
      <xdr:colOff>1208483</xdr:colOff>
      <xdr:row>71</xdr:row>
      <xdr:rowOff>189310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67952" y="21522013"/>
          <a:ext cx="1202531" cy="3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/>
            <a:t>Module</a:t>
          </a:r>
          <a:r>
            <a:rPr lang="fr-FR" sz="700" baseline="0"/>
            <a:t> standard : 1468mm</a:t>
          </a:r>
          <a:endParaRPr lang="fr-FR" sz="700"/>
        </a:p>
      </xdr:txBody>
    </xdr:sp>
    <xdr:clientData/>
  </xdr:twoCellAnchor>
  <xdr:twoCellAnchor editAs="oneCell">
    <xdr:from>
      <xdr:col>1</xdr:col>
      <xdr:colOff>117323</xdr:colOff>
      <xdr:row>73</xdr:row>
      <xdr:rowOff>149744</xdr:rowOff>
    </xdr:from>
    <xdr:to>
      <xdr:col>1</xdr:col>
      <xdr:colOff>1062057</xdr:colOff>
      <xdr:row>73</xdr:row>
      <xdr:rowOff>584322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9323" y="23507975"/>
          <a:ext cx="944734" cy="434578"/>
        </a:xfrm>
        <a:prstGeom prst="rect">
          <a:avLst/>
        </a:prstGeom>
      </xdr:spPr>
    </xdr:pic>
    <xdr:clientData/>
  </xdr:twoCellAnchor>
  <xdr:twoCellAnchor>
    <xdr:from>
      <xdr:col>1</xdr:col>
      <xdr:colOff>15477</xdr:colOff>
      <xdr:row>74</xdr:row>
      <xdr:rowOff>0</xdr:rowOff>
    </xdr:from>
    <xdr:to>
      <xdr:col>1</xdr:col>
      <xdr:colOff>1218008</xdr:colOff>
      <xdr:row>74</xdr:row>
      <xdr:rowOff>0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77477" y="2436743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Capot de main courante</a:t>
          </a:r>
        </a:p>
        <a:p>
          <a:pPr algn="ctr"/>
          <a:r>
            <a:rPr lang="fr-FR" sz="700"/>
            <a:t>R333 - Lg 6500mm</a:t>
          </a:r>
        </a:p>
      </xdr:txBody>
    </xdr:sp>
    <xdr:clientData/>
  </xdr:twoCellAnchor>
  <xdr:twoCellAnchor editAs="oneCell">
    <xdr:from>
      <xdr:col>1</xdr:col>
      <xdr:colOff>159924</xdr:colOff>
      <xdr:row>72</xdr:row>
      <xdr:rowOff>120885</xdr:rowOff>
    </xdr:from>
    <xdr:to>
      <xdr:col>1</xdr:col>
      <xdr:colOff>1058846</xdr:colOff>
      <xdr:row>72</xdr:row>
      <xdr:rowOff>703024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1924" y="22468000"/>
          <a:ext cx="898922" cy="582139"/>
        </a:xfrm>
        <a:prstGeom prst="rect">
          <a:avLst/>
        </a:prstGeom>
      </xdr:spPr>
    </xdr:pic>
    <xdr:clientData/>
  </xdr:twoCellAnchor>
  <xdr:twoCellAnchor>
    <xdr:from>
      <xdr:col>0</xdr:col>
      <xdr:colOff>837856</xdr:colOff>
      <xdr:row>73</xdr:row>
      <xdr:rowOff>674158</xdr:rowOff>
    </xdr:from>
    <xdr:to>
      <xdr:col>2</xdr:col>
      <xdr:colOff>193085</xdr:colOff>
      <xdr:row>73</xdr:row>
      <xdr:rowOff>890006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837856" y="15880540"/>
          <a:ext cx="1573994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Main courante</a:t>
          </a:r>
          <a:r>
            <a:rPr lang="fr-FR" sz="700" baseline="0"/>
            <a:t> - Lg = 6500mm</a:t>
          </a:r>
          <a:endParaRPr lang="fr-FR" sz="700"/>
        </a:p>
      </xdr:txBody>
    </xdr:sp>
    <xdr:clientData/>
  </xdr:twoCellAnchor>
  <xdr:twoCellAnchor>
    <xdr:from>
      <xdr:col>0</xdr:col>
      <xdr:colOff>16565</xdr:colOff>
      <xdr:row>81</xdr:row>
      <xdr:rowOff>4240</xdr:rowOff>
    </xdr:from>
    <xdr:to>
      <xdr:col>0</xdr:col>
      <xdr:colOff>761896</xdr:colOff>
      <xdr:row>81</xdr:row>
      <xdr:rowOff>4240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6565" y="30903340"/>
          <a:ext cx="7453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Embout</a:t>
          </a:r>
          <a:r>
            <a:rPr lang="fr-FR" sz="700" baseline="0"/>
            <a:t> d'extrémité HO332</a:t>
          </a:r>
          <a:endParaRPr lang="fr-FR" sz="700"/>
        </a:p>
      </xdr:txBody>
    </xdr:sp>
    <xdr:clientData/>
  </xdr:twoCellAnchor>
  <xdr:twoCellAnchor editAs="oneCell">
    <xdr:from>
      <xdr:col>1</xdr:col>
      <xdr:colOff>43630</xdr:colOff>
      <xdr:row>82</xdr:row>
      <xdr:rowOff>73448</xdr:rowOff>
    </xdr:from>
    <xdr:to>
      <xdr:col>1</xdr:col>
      <xdr:colOff>1200513</xdr:colOff>
      <xdr:row>82</xdr:row>
      <xdr:rowOff>728869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630" y="31982198"/>
          <a:ext cx="1156883" cy="655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7040</xdr:colOff>
      <xdr:row>83</xdr:row>
      <xdr:rowOff>4239</xdr:rowOff>
    </xdr:from>
    <xdr:to>
      <xdr:col>1</xdr:col>
      <xdr:colOff>1209571</xdr:colOff>
      <xdr:row>83</xdr:row>
      <xdr:rowOff>4239</xdr:rowOff>
    </xdr:to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769040" y="32160639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5mm</a:t>
          </a:r>
          <a:br>
            <a:rPr lang="fr-FR" sz="700" baseline="0"/>
          </a:br>
          <a:r>
            <a:rPr lang="fr-FR" sz="700" baseline="0"/>
            <a:t>HO328-5</a:t>
          </a:r>
          <a:endParaRPr lang="fr-FR" sz="700"/>
        </a:p>
      </xdr:txBody>
    </xdr:sp>
    <xdr:clientData/>
  </xdr:twoCellAnchor>
  <xdr:twoCellAnchor>
    <xdr:from>
      <xdr:col>1</xdr:col>
      <xdr:colOff>12169</xdr:colOff>
      <xdr:row>84</xdr:row>
      <xdr:rowOff>5196</xdr:rowOff>
    </xdr:from>
    <xdr:to>
      <xdr:col>1</xdr:col>
      <xdr:colOff>1214700</xdr:colOff>
      <xdr:row>84</xdr:row>
      <xdr:rowOff>5196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774169" y="33171246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2mm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1</xdr:col>
      <xdr:colOff>55823</xdr:colOff>
      <xdr:row>83</xdr:row>
      <xdr:rowOff>90285</xdr:rowOff>
    </xdr:from>
    <xdr:to>
      <xdr:col>2</xdr:col>
      <xdr:colOff>0</xdr:colOff>
      <xdr:row>83</xdr:row>
      <xdr:rowOff>719646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823" y="32246685"/>
          <a:ext cx="1172902" cy="629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43060</xdr:colOff>
      <xdr:row>84</xdr:row>
      <xdr:rowOff>125704</xdr:rowOff>
    </xdr:from>
    <xdr:to>
      <xdr:col>1</xdr:col>
      <xdr:colOff>1195244</xdr:colOff>
      <xdr:row>84</xdr:row>
      <xdr:rowOff>725063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060" y="33291754"/>
          <a:ext cx="1152184" cy="5993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12901</xdr:colOff>
      <xdr:row>85</xdr:row>
      <xdr:rowOff>5195</xdr:rowOff>
    </xdr:from>
    <xdr:to>
      <xdr:col>1</xdr:col>
      <xdr:colOff>1215432</xdr:colOff>
      <xdr:row>85</xdr:row>
      <xdr:rowOff>5195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774901" y="3418089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sécable</a:t>
          </a:r>
          <a:r>
            <a:rPr lang="fr-FR" sz="700" baseline="0"/>
            <a:t> 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0</xdr:col>
      <xdr:colOff>236055</xdr:colOff>
      <xdr:row>58</xdr:row>
      <xdr:rowOff>83237</xdr:rowOff>
    </xdr:from>
    <xdr:to>
      <xdr:col>0</xdr:col>
      <xdr:colOff>586154</xdr:colOff>
      <xdr:row>60</xdr:row>
      <xdr:rowOff>93792</xdr:rowOff>
    </xdr:to>
    <xdr:pic>
      <xdr:nvPicPr>
        <xdr:cNvPr id="32" name="Imag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055" y="10560737"/>
          <a:ext cx="350099" cy="413968"/>
        </a:xfrm>
        <a:prstGeom prst="rect">
          <a:avLst/>
        </a:prstGeom>
      </xdr:spPr>
    </xdr:pic>
    <xdr:clientData/>
  </xdr:twoCellAnchor>
  <xdr:twoCellAnchor>
    <xdr:from>
      <xdr:col>0</xdr:col>
      <xdr:colOff>607554</xdr:colOff>
      <xdr:row>59</xdr:row>
      <xdr:rowOff>26310</xdr:rowOff>
    </xdr:from>
    <xdr:to>
      <xdr:col>5</xdr:col>
      <xdr:colOff>417054</xdr:colOff>
      <xdr:row>60</xdr:row>
      <xdr:rowOff>89647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607554" y="11691634"/>
          <a:ext cx="4314265" cy="2538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i="1"/>
            <a:t>Completez les céllules en blanc (les cases en gris se complètent automatiquement)</a:t>
          </a:r>
        </a:p>
      </xdr:txBody>
    </xdr:sp>
    <xdr:clientData/>
  </xdr:twoCellAnchor>
  <xdr:twoCellAnchor>
    <xdr:from>
      <xdr:col>0</xdr:col>
      <xdr:colOff>9525</xdr:colOff>
      <xdr:row>81</xdr:row>
      <xdr:rowOff>5195</xdr:rowOff>
    </xdr:from>
    <xdr:to>
      <xdr:col>1</xdr:col>
      <xdr:colOff>183</xdr:colOff>
      <xdr:row>81</xdr:row>
      <xdr:rowOff>5195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9525" y="30904295"/>
          <a:ext cx="75265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Emout d'extrémité</a:t>
          </a:r>
          <a:br>
            <a:rPr lang="fr-FR" sz="700"/>
          </a:br>
          <a:r>
            <a:rPr lang="fr-FR" sz="700"/>
            <a:t>droit</a:t>
          </a:r>
          <a:r>
            <a:rPr lang="fr-FR" sz="700" baseline="0"/>
            <a:t> ou gauche</a:t>
          </a:r>
          <a:endParaRPr lang="fr-FR" sz="700"/>
        </a:p>
      </xdr:txBody>
    </xdr:sp>
    <xdr:clientData/>
  </xdr:twoCellAnchor>
  <xdr:twoCellAnchor>
    <xdr:from>
      <xdr:col>1</xdr:col>
      <xdr:colOff>9525</xdr:colOff>
      <xdr:row>83</xdr:row>
      <xdr:rowOff>3538</xdr:rowOff>
    </xdr:from>
    <xdr:to>
      <xdr:col>1</xdr:col>
      <xdr:colOff>1190625</xdr:colOff>
      <xdr:row>83</xdr:row>
      <xdr:rowOff>3538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771525" y="32159938"/>
          <a:ext cx="118110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493451</xdr:colOff>
      <xdr:row>6</xdr:row>
      <xdr:rowOff>69184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00"/>
          <a:ext cx="5760177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241141</xdr:colOff>
      <xdr:row>3</xdr:row>
      <xdr:rowOff>83417</xdr:rowOff>
    </xdr:from>
    <xdr:to>
      <xdr:col>3</xdr:col>
      <xdr:colOff>342188</xdr:colOff>
      <xdr:row>9</xdr:row>
      <xdr:rowOff>7808</xdr:rowOff>
    </xdr:to>
    <xdr:sp macro="" textlink="">
      <xdr:nvSpPr>
        <xdr:cNvPr id="37" name="ZoneText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241141" y="10179917"/>
          <a:ext cx="2854638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 editAs="oneCell">
    <xdr:from>
      <xdr:col>0</xdr:col>
      <xdr:colOff>78441</xdr:colOff>
      <xdr:row>12</xdr:row>
      <xdr:rowOff>33617</xdr:rowOff>
    </xdr:from>
    <xdr:to>
      <xdr:col>0</xdr:col>
      <xdr:colOff>482212</xdr:colOff>
      <xdr:row>14</xdr:row>
      <xdr:rowOff>85225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1" y="11082617"/>
          <a:ext cx="403771" cy="477432"/>
        </a:xfrm>
        <a:prstGeom prst="rect">
          <a:avLst/>
        </a:prstGeom>
      </xdr:spPr>
    </xdr:pic>
    <xdr:clientData/>
  </xdr:twoCellAnchor>
  <xdr:twoCellAnchor>
    <xdr:from>
      <xdr:col>1</xdr:col>
      <xdr:colOff>11207</xdr:colOff>
      <xdr:row>12</xdr:row>
      <xdr:rowOff>112059</xdr:rowOff>
    </xdr:from>
    <xdr:to>
      <xdr:col>5</xdr:col>
      <xdr:colOff>582707</xdr:colOff>
      <xdr:row>14</xdr:row>
      <xdr:rowOff>29233</xdr:rowOff>
    </xdr:to>
    <xdr:sp macro="" textlink="">
      <xdr:nvSpPr>
        <xdr:cNvPr id="39" name="ZoneText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773207" y="11161059"/>
          <a:ext cx="4090147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i="1"/>
            <a:t>Merci de compléter les</a:t>
          </a:r>
          <a:r>
            <a:rPr lang="fr-FR" sz="1600" i="1" baseline="0"/>
            <a:t> case en bleu.</a:t>
          </a:r>
          <a:endParaRPr lang="fr-FR" sz="1600" i="1"/>
        </a:p>
      </xdr:txBody>
    </xdr:sp>
    <xdr:clientData/>
  </xdr:twoCellAnchor>
  <xdr:twoCellAnchor editAs="oneCell">
    <xdr:from>
      <xdr:col>2</xdr:col>
      <xdr:colOff>701848</xdr:colOff>
      <xdr:row>71</xdr:row>
      <xdr:rowOff>9527</xdr:rowOff>
    </xdr:from>
    <xdr:to>
      <xdr:col>4</xdr:col>
      <xdr:colOff>627127</xdr:colOff>
      <xdr:row>72</xdr:row>
      <xdr:rowOff>23411</xdr:rowOff>
    </xdr:to>
    <xdr:pic>
      <xdr:nvPicPr>
        <xdr:cNvPr id="41" name="Imag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2573" y="21345527"/>
          <a:ext cx="1449279" cy="1023535"/>
        </a:xfrm>
        <a:prstGeom prst="rect">
          <a:avLst/>
        </a:prstGeom>
      </xdr:spPr>
    </xdr:pic>
    <xdr:clientData/>
  </xdr:twoCellAnchor>
  <xdr:twoCellAnchor>
    <xdr:from>
      <xdr:col>3</xdr:col>
      <xdr:colOff>173831</xdr:colOff>
      <xdr:row>71</xdr:row>
      <xdr:rowOff>235743</xdr:rowOff>
    </xdr:from>
    <xdr:to>
      <xdr:col>4</xdr:col>
      <xdr:colOff>417909</xdr:colOff>
      <xdr:row>72</xdr:row>
      <xdr:rowOff>5952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2926556" y="21571743"/>
          <a:ext cx="1006078" cy="779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modules</a:t>
          </a:r>
          <a:r>
            <a:rPr lang="fr-FR" sz="700" i="1" baseline="0"/>
            <a:t> </a:t>
          </a:r>
          <a:r>
            <a:rPr lang="fr-FR" sz="700" i="1"/>
            <a:t>souhaités.</a:t>
          </a:r>
        </a:p>
        <a:p>
          <a:endParaRPr lang="fr-FR" sz="700" i="1"/>
        </a:p>
        <a:p>
          <a:r>
            <a:rPr lang="fr-FR" sz="700" i="1"/>
            <a:t>1</a:t>
          </a:r>
          <a:r>
            <a:rPr lang="fr-FR" sz="700" i="1" baseline="0"/>
            <a:t> module = 1468mm</a:t>
          </a:r>
          <a:endParaRPr lang="fr-FR" sz="700" i="1"/>
        </a:p>
      </xdr:txBody>
    </xdr:sp>
    <xdr:clientData/>
  </xdr:twoCellAnchor>
  <xdr:twoCellAnchor editAs="oneCell">
    <xdr:from>
      <xdr:col>2</xdr:col>
      <xdr:colOff>738187</xdr:colOff>
      <xdr:row>75</xdr:row>
      <xdr:rowOff>11906</xdr:rowOff>
    </xdr:from>
    <xdr:to>
      <xdr:col>4</xdr:col>
      <xdr:colOff>583404</xdr:colOff>
      <xdr:row>75</xdr:row>
      <xdr:rowOff>724089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6531" y="24634031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167463</xdr:colOff>
      <xdr:row>75</xdr:row>
      <xdr:rowOff>218972</xdr:rowOff>
    </xdr:from>
    <xdr:to>
      <xdr:col>4</xdr:col>
      <xdr:colOff>381001</xdr:colOff>
      <xdr:row>76</xdr:row>
      <xdr:rowOff>46331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2917289" y="24834885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76</xdr:row>
      <xdr:rowOff>0</xdr:rowOff>
    </xdr:from>
    <xdr:to>
      <xdr:col>4</xdr:col>
      <xdr:colOff>607217</xdr:colOff>
      <xdr:row>76</xdr:row>
      <xdr:rowOff>712183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5377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76</xdr:row>
      <xdr:rowOff>207066</xdr:rowOff>
    </xdr:from>
    <xdr:to>
      <xdr:col>4</xdr:col>
      <xdr:colOff>404814</xdr:colOff>
      <xdr:row>77</xdr:row>
      <xdr:rowOff>34425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2941102" y="25584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77</xdr:row>
      <xdr:rowOff>0</xdr:rowOff>
    </xdr:from>
    <xdr:to>
      <xdr:col>4</xdr:col>
      <xdr:colOff>607217</xdr:colOff>
      <xdr:row>77</xdr:row>
      <xdr:rowOff>712183</xdr:rowOff>
    </xdr:to>
    <xdr:pic>
      <xdr:nvPicPr>
        <xdr:cNvPr id="64" name="Imag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6139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77</xdr:row>
      <xdr:rowOff>207066</xdr:rowOff>
    </xdr:from>
    <xdr:to>
      <xdr:col>4</xdr:col>
      <xdr:colOff>404814</xdr:colOff>
      <xdr:row>78</xdr:row>
      <xdr:rowOff>0</xdr:rowOff>
    </xdr:to>
    <xdr:sp macro="" textlink="">
      <xdr:nvSpPr>
        <xdr:cNvPr id="65" name="ZoneText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/>
      </xdr:nvSpPr>
      <xdr:spPr>
        <a:xfrm>
          <a:off x="2941102" y="26346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8284</xdr:colOff>
      <xdr:row>80</xdr:row>
      <xdr:rowOff>132522</xdr:rowOff>
    </xdr:from>
    <xdr:to>
      <xdr:col>4</xdr:col>
      <xdr:colOff>615501</xdr:colOff>
      <xdr:row>80</xdr:row>
      <xdr:rowOff>844705</xdr:rowOff>
    </xdr:to>
    <xdr:pic>
      <xdr:nvPicPr>
        <xdr:cNvPr id="68" name="Imag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1009" y="3078397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199560</xdr:colOff>
      <xdr:row>80</xdr:row>
      <xdr:rowOff>244338</xdr:rowOff>
    </xdr:from>
    <xdr:to>
      <xdr:col>4</xdr:col>
      <xdr:colOff>413098</xdr:colOff>
      <xdr:row>80</xdr:row>
      <xdr:rowOff>244338</xdr:rowOff>
    </xdr:to>
    <xdr:sp macro="" textlink="">
      <xdr:nvSpPr>
        <xdr:cNvPr id="69" name="ZoneText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2952285" y="30895788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3</xdr:col>
      <xdr:colOff>0</xdr:colOff>
      <xdr:row>82</xdr:row>
      <xdr:rowOff>107674</xdr:rowOff>
    </xdr:from>
    <xdr:to>
      <xdr:col>4</xdr:col>
      <xdr:colOff>607217</xdr:colOff>
      <xdr:row>82</xdr:row>
      <xdr:rowOff>819857</xdr:rowOff>
    </xdr:to>
    <xdr:pic>
      <xdr:nvPicPr>
        <xdr:cNvPr id="70" name="Image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5" y="32016424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83</xdr:row>
      <xdr:rowOff>415</xdr:rowOff>
    </xdr:from>
    <xdr:to>
      <xdr:col>4</xdr:col>
      <xdr:colOff>404814</xdr:colOff>
      <xdr:row>83</xdr:row>
      <xdr:rowOff>415</xdr:rowOff>
    </xdr:to>
    <xdr:sp macro="" textlink="">
      <xdr:nvSpPr>
        <xdr:cNvPr id="71" name="ZoneText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2944001" y="32156815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753717</xdr:colOff>
      <xdr:row>83</xdr:row>
      <xdr:rowOff>132522</xdr:rowOff>
    </xdr:from>
    <xdr:to>
      <xdr:col>4</xdr:col>
      <xdr:colOff>598934</xdr:colOff>
      <xdr:row>83</xdr:row>
      <xdr:rowOff>844705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4442" y="3228892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182993</xdr:colOff>
      <xdr:row>83</xdr:row>
      <xdr:rowOff>339588</xdr:rowOff>
    </xdr:from>
    <xdr:to>
      <xdr:col>4</xdr:col>
      <xdr:colOff>396531</xdr:colOff>
      <xdr:row>83</xdr:row>
      <xdr:rowOff>928947</xdr:rowOff>
    </xdr:to>
    <xdr:sp macro="" textlink="">
      <xdr:nvSpPr>
        <xdr:cNvPr id="73" name="ZoneText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/>
      </xdr:nvSpPr>
      <xdr:spPr>
        <a:xfrm>
          <a:off x="2935718" y="32495988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732183</xdr:colOff>
      <xdr:row>84</xdr:row>
      <xdr:rowOff>127553</xdr:rowOff>
    </xdr:from>
    <xdr:to>
      <xdr:col>4</xdr:col>
      <xdr:colOff>577400</xdr:colOff>
      <xdr:row>84</xdr:row>
      <xdr:rowOff>839736</xdr:rowOff>
    </xdr:to>
    <xdr:pic>
      <xdr:nvPicPr>
        <xdr:cNvPr id="74" name="Image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2908" y="3329360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161459</xdr:colOff>
      <xdr:row>84</xdr:row>
      <xdr:rowOff>334619</xdr:rowOff>
    </xdr:from>
    <xdr:to>
      <xdr:col>4</xdr:col>
      <xdr:colOff>374997</xdr:colOff>
      <xdr:row>84</xdr:row>
      <xdr:rowOff>923978</xdr:rowOff>
    </xdr:to>
    <xdr:sp macro="" textlink="">
      <xdr:nvSpPr>
        <xdr:cNvPr id="75" name="ZoneTexte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2914184" y="3350066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1</xdr:col>
      <xdr:colOff>4555</xdr:colOff>
      <xdr:row>83</xdr:row>
      <xdr:rowOff>828486</xdr:rowOff>
    </xdr:from>
    <xdr:to>
      <xdr:col>1</xdr:col>
      <xdr:colOff>1185655</xdr:colOff>
      <xdr:row>83</xdr:row>
      <xdr:rowOff>904460</xdr:rowOff>
    </xdr:to>
    <xdr:sp macro="" textlink="">
      <xdr:nvSpPr>
        <xdr:cNvPr id="76" name="ZoneTexte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766555" y="32984886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2mm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>
    <xdr:from>
      <xdr:col>1</xdr:col>
      <xdr:colOff>16151</xdr:colOff>
      <xdr:row>84</xdr:row>
      <xdr:rowOff>815234</xdr:rowOff>
    </xdr:from>
    <xdr:to>
      <xdr:col>1</xdr:col>
      <xdr:colOff>1197251</xdr:colOff>
      <xdr:row>84</xdr:row>
      <xdr:rowOff>891208</xdr:rowOff>
    </xdr:to>
    <xdr:sp macro="" textlink="">
      <xdr:nvSpPr>
        <xdr:cNvPr id="77" name="ZoneTexte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778151" y="33981284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sécable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3</xdr:col>
      <xdr:colOff>494426</xdr:colOff>
      <xdr:row>43</xdr:row>
      <xdr:rowOff>113243</xdr:rowOff>
    </xdr:from>
    <xdr:to>
      <xdr:col>4</xdr:col>
      <xdr:colOff>300642</xdr:colOff>
      <xdr:row>46</xdr:row>
      <xdr:rowOff>143576</xdr:rowOff>
    </xdr:to>
    <xdr:pic>
      <xdr:nvPicPr>
        <xdr:cNvPr id="40" name="Graphique 3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76484" y="7352243"/>
          <a:ext cx="568216" cy="568216"/>
        </a:xfrm>
        <a:prstGeom prst="rect">
          <a:avLst/>
        </a:prstGeom>
      </xdr:spPr>
    </xdr:pic>
    <xdr:clientData/>
  </xdr:twoCellAnchor>
  <xdr:twoCellAnchor>
    <xdr:from>
      <xdr:col>3</xdr:col>
      <xdr:colOff>234157</xdr:colOff>
      <xdr:row>47</xdr:row>
      <xdr:rowOff>128735</xdr:rowOff>
    </xdr:from>
    <xdr:to>
      <xdr:col>4</xdr:col>
      <xdr:colOff>556364</xdr:colOff>
      <xdr:row>50</xdr:row>
      <xdr:rowOff>112585</xdr:rowOff>
    </xdr:to>
    <xdr:sp macro="" textlink="">
      <xdr:nvSpPr>
        <xdr:cNvPr id="43" name="ZoneTexte 4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3216215" y="8129735"/>
          <a:ext cx="1084207" cy="555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NOTICE DE POSE</a:t>
          </a:r>
        </a:p>
      </xdr:txBody>
    </xdr:sp>
    <xdr:clientData/>
  </xdr:twoCellAnchor>
  <xdr:twoCellAnchor editAs="oneCell">
    <xdr:from>
      <xdr:col>1</xdr:col>
      <xdr:colOff>1135749</xdr:colOff>
      <xdr:row>43</xdr:row>
      <xdr:rowOff>134638</xdr:rowOff>
    </xdr:from>
    <xdr:to>
      <xdr:col>2</xdr:col>
      <xdr:colOff>471400</xdr:colOff>
      <xdr:row>46</xdr:row>
      <xdr:rowOff>157049</xdr:rowOff>
    </xdr:to>
    <xdr:pic>
      <xdr:nvPicPr>
        <xdr:cNvPr id="47" name="Graphique 4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124884" y="7373638"/>
          <a:ext cx="566574" cy="560294"/>
        </a:xfrm>
        <a:prstGeom prst="rect">
          <a:avLst/>
        </a:prstGeom>
      </xdr:spPr>
    </xdr:pic>
    <xdr:clientData/>
  </xdr:twoCellAnchor>
  <xdr:twoCellAnchor editAs="oneCell">
    <xdr:from>
      <xdr:col>5</xdr:col>
      <xdr:colOff>284840</xdr:colOff>
      <xdr:row>43</xdr:row>
      <xdr:rowOff>108712</xdr:rowOff>
    </xdr:from>
    <xdr:to>
      <xdr:col>6</xdr:col>
      <xdr:colOff>87869</xdr:colOff>
      <xdr:row>46</xdr:row>
      <xdr:rowOff>135858</xdr:rowOff>
    </xdr:to>
    <xdr:pic>
      <xdr:nvPicPr>
        <xdr:cNvPr id="49" name="Graphique 4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4563763" y="16872712"/>
          <a:ext cx="565029" cy="565029"/>
        </a:xfrm>
        <a:prstGeom prst="rect">
          <a:avLst/>
        </a:prstGeom>
      </xdr:spPr>
    </xdr:pic>
    <xdr:clientData/>
  </xdr:twoCellAnchor>
  <xdr:twoCellAnchor editAs="oneCell">
    <xdr:from>
      <xdr:col>0</xdr:col>
      <xdr:colOff>666873</xdr:colOff>
      <xdr:row>43</xdr:row>
      <xdr:rowOff>108308</xdr:rowOff>
    </xdr:from>
    <xdr:to>
      <xdr:col>1</xdr:col>
      <xdr:colOff>244313</xdr:colOff>
      <xdr:row>46</xdr:row>
      <xdr:rowOff>137000</xdr:rowOff>
    </xdr:to>
    <xdr:pic>
      <xdr:nvPicPr>
        <xdr:cNvPr id="53" name="Graphique 5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666873" y="16872308"/>
          <a:ext cx="566575" cy="566575"/>
        </a:xfrm>
        <a:prstGeom prst="rect">
          <a:avLst/>
        </a:prstGeom>
      </xdr:spPr>
    </xdr:pic>
    <xdr:clientData/>
  </xdr:twoCellAnchor>
  <xdr:twoCellAnchor>
    <xdr:from>
      <xdr:col>1</xdr:col>
      <xdr:colOff>807564</xdr:colOff>
      <xdr:row>47</xdr:row>
      <xdr:rowOff>128693</xdr:rowOff>
    </xdr:from>
    <xdr:to>
      <xdr:col>3</xdr:col>
      <xdr:colOff>6149</xdr:colOff>
      <xdr:row>50</xdr:row>
      <xdr:rowOff>115264</xdr:rowOff>
    </xdr:to>
    <xdr:sp macro="" textlink="">
      <xdr:nvSpPr>
        <xdr:cNvPr id="82" name="ZoneTexte 8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1796699" y="8129693"/>
          <a:ext cx="1191508" cy="5580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DOCUMENTATION</a:t>
          </a:r>
        </a:p>
      </xdr:txBody>
    </xdr:sp>
    <xdr:clientData/>
  </xdr:twoCellAnchor>
  <xdr:twoCellAnchor>
    <xdr:from>
      <xdr:col>5</xdr:col>
      <xdr:colOff>0</xdr:colOff>
      <xdr:row>47</xdr:row>
      <xdr:rowOff>112606</xdr:rowOff>
    </xdr:from>
    <xdr:to>
      <xdr:col>6</xdr:col>
      <xdr:colOff>425950</xdr:colOff>
      <xdr:row>50</xdr:row>
      <xdr:rowOff>107674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4273826" y="17638606"/>
          <a:ext cx="1187950" cy="5665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CONFIGURATEUR</a:t>
          </a:r>
        </a:p>
      </xdr:txBody>
    </xdr:sp>
    <xdr:clientData/>
  </xdr:twoCellAnchor>
  <xdr:twoCellAnchor>
    <xdr:from>
      <xdr:col>0</xdr:col>
      <xdr:colOff>329694</xdr:colOff>
      <xdr:row>47</xdr:row>
      <xdr:rowOff>116762</xdr:rowOff>
    </xdr:from>
    <xdr:to>
      <xdr:col>1</xdr:col>
      <xdr:colOff>786894</xdr:colOff>
      <xdr:row>50</xdr:row>
      <xdr:rowOff>109904</xdr:rowOff>
    </xdr:to>
    <xdr:sp macro="" textlink="">
      <xdr:nvSpPr>
        <xdr:cNvPr id="85" name="ZoneTexte 8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329694" y="17642762"/>
          <a:ext cx="1219200" cy="5646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PLANS DE PRINCIPE</a:t>
          </a:r>
        </a:p>
      </xdr:txBody>
    </xdr:sp>
    <xdr:clientData/>
  </xdr:twoCellAnchor>
  <xdr:twoCellAnchor>
    <xdr:from>
      <xdr:col>0</xdr:col>
      <xdr:colOff>483577</xdr:colOff>
      <xdr:row>40</xdr:row>
      <xdr:rowOff>178777</xdr:rowOff>
    </xdr:from>
    <xdr:to>
      <xdr:col>6</xdr:col>
      <xdr:colOff>466725</xdr:colOff>
      <xdr:row>42</xdr:row>
      <xdr:rowOff>95951</xdr:rowOff>
    </xdr:to>
    <xdr:sp macro="" textlink="">
      <xdr:nvSpPr>
        <xdr:cNvPr id="86" name="ZoneTexte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483577" y="16371277"/>
          <a:ext cx="5021873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i="1"/>
            <a:t>Retrouvez les documents liés au MODURAL sur les liens ci-dessous :</a:t>
          </a:r>
        </a:p>
      </xdr:txBody>
    </xdr:sp>
    <xdr:clientData/>
  </xdr:twoCellAnchor>
  <xdr:twoCellAnchor>
    <xdr:from>
      <xdr:col>3</xdr:col>
      <xdr:colOff>185892</xdr:colOff>
      <xdr:row>82</xdr:row>
      <xdr:rowOff>309770</xdr:rowOff>
    </xdr:from>
    <xdr:to>
      <xdr:col>4</xdr:col>
      <xdr:colOff>399430</xdr:colOff>
      <xdr:row>82</xdr:row>
      <xdr:rowOff>899129</xdr:rowOff>
    </xdr:to>
    <xdr:sp macro="" textlink="">
      <xdr:nvSpPr>
        <xdr:cNvPr id="88" name="ZoneText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2935718" y="32230944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3</xdr:col>
      <xdr:colOff>197487</xdr:colOff>
      <xdr:row>80</xdr:row>
      <xdr:rowOff>329649</xdr:rowOff>
    </xdr:from>
    <xdr:to>
      <xdr:col>4</xdr:col>
      <xdr:colOff>440531</xdr:colOff>
      <xdr:row>80</xdr:row>
      <xdr:rowOff>919008</xdr:rowOff>
    </xdr:to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2947831" y="31012055"/>
          <a:ext cx="1005044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1</xdr:col>
      <xdr:colOff>171450</xdr:colOff>
      <xdr:row>71</xdr:row>
      <xdr:rowOff>38101</xdr:rowOff>
    </xdr:from>
    <xdr:to>
      <xdr:col>1</xdr:col>
      <xdr:colOff>1086869</xdr:colOff>
      <xdr:row>71</xdr:row>
      <xdr:rowOff>781050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3450" y="21374101"/>
          <a:ext cx="915419" cy="742949"/>
        </a:xfrm>
        <a:prstGeom prst="rect">
          <a:avLst/>
        </a:prstGeom>
      </xdr:spPr>
    </xdr:pic>
    <xdr:clientData/>
  </xdr:twoCellAnchor>
  <xdr:twoCellAnchor>
    <xdr:from>
      <xdr:col>1</xdr:col>
      <xdr:colOff>45348</xdr:colOff>
      <xdr:row>71</xdr:row>
      <xdr:rowOff>790752</xdr:rowOff>
    </xdr:from>
    <xdr:to>
      <xdr:col>2</xdr:col>
      <xdr:colOff>15232</xdr:colOff>
      <xdr:row>71</xdr:row>
      <xdr:rowOff>1006600</xdr:rowOff>
    </xdr:to>
    <xdr:sp macro="" textlink="">
      <xdr:nvSpPr>
        <xdr:cNvPr id="90" name="ZoneText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/>
      </xdr:nvSpPr>
      <xdr:spPr>
        <a:xfrm>
          <a:off x="807348" y="22126752"/>
          <a:ext cx="1200807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Module -</a:t>
          </a:r>
          <a:r>
            <a:rPr lang="fr-FR" sz="700" baseline="0"/>
            <a:t> largeur = 1468mm</a:t>
          </a:r>
          <a:endParaRPr lang="fr-FR" sz="700"/>
        </a:p>
      </xdr:txBody>
    </xdr:sp>
    <xdr:clientData/>
  </xdr:twoCellAnchor>
  <xdr:twoCellAnchor>
    <xdr:from>
      <xdr:col>0</xdr:col>
      <xdr:colOff>694594</xdr:colOff>
      <xdr:row>72</xdr:row>
      <xdr:rowOff>767943</xdr:rowOff>
    </xdr:from>
    <xdr:to>
      <xdr:col>2</xdr:col>
      <xdr:colOff>49823</xdr:colOff>
      <xdr:row>72</xdr:row>
      <xdr:rowOff>983791</xdr:rowOff>
    </xdr:to>
    <xdr:sp macro="" textlink="">
      <xdr:nvSpPr>
        <xdr:cNvPr id="91" name="ZoneText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 txBox="1"/>
      </xdr:nvSpPr>
      <xdr:spPr>
        <a:xfrm>
          <a:off x="694594" y="23115058"/>
          <a:ext cx="1348152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support</a:t>
          </a:r>
        </a:p>
      </xdr:txBody>
    </xdr:sp>
    <xdr:clientData/>
  </xdr:twoCellAnchor>
  <xdr:twoCellAnchor>
    <xdr:from>
      <xdr:col>0</xdr:col>
      <xdr:colOff>714374</xdr:colOff>
      <xdr:row>34</xdr:row>
      <xdr:rowOff>133349</xdr:rowOff>
    </xdr:from>
    <xdr:to>
      <xdr:col>6</xdr:col>
      <xdr:colOff>657224</xdr:colOff>
      <xdr:row>39</xdr:row>
      <xdr:rowOff>57150</xdr:rowOff>
    </xdr:to>
    <xdr:sp macro="" textlink="">
      <xdr:nvSpPr>
        <xdr:cNvPr id="92" name="ZoneTexte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 txBox="1"/>
      </xdr:nvSpPr>
      <xdr:spPr>
        <a:xfrm>
          <a:off x="714374" y="15182849"/>
          <a:ext cx="4981575" cy="8763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i="1"/>
            <a:t>Toujours soucieux de l'impact environnemental, nous avons</a:t>
          </a:r>
          <a:r>
            <a:rPr lang="fr-FR" sz="1050" i="1" baseline="0"/>
            <a:t> pris la décision de proposer ce tarif en version digitale et ainsi minimiser l'usage du papier.</a:t>
          </a:r>
        </a:p>
        <a:p>
          <a:endParaRPr lang="fr-FR" sz="900" i="1"/>
        </a:p>
      </xdr:txBody>
    </xdr:sp>
    <xdr:clientData/>
  </xdr:twoCellAnchor>
  <xdr:twoCellAnchor editAs="oneCell">
    <xdr:from>
      <xdr:col>0</xdr:col>
      <xdr:colOff>1</xdr:colOff>
      <xdr:row>34</xdr:row>
      <xdr:rowOff>99391</xdr:rowOff>
    </xdr:from>
    <xdr:to>
      <xdr:col>0</xdr:col>
      <xdr:colOff>796139</xdr:colOff>
      <xdr:row>37</xdr:row>
      <xdr:rowOff>1071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5148891"/>
          <a:ext cx="796138" cy="513521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40</xdr:row>
      <xdr:rowOff>123825</xdr:rowOff>
    </xdr:from>
    <xdr:to>
      <xdr:col>0</xdr:col>
      <xdr:colOff>485775</xdr:colOff>
      <xdr:row>41</xdr:row>
      <xdr:rowOff>64433</xdr:rowOff>
    </xdr:to>
    <xdr:pic>
      <xdr:nvPicPr>
        <xdr:cNvPr id="51" name="Imag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631632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1</xdr:col>
      <xdr:colOff>361950</xdr:colOff>
      <xdr:row>76</xdr:row>
      <xdr:rowOff>57151</xdr:rowOff>
    </xdr:from>
    <xdr:to>
      <xdr:col>1</xdr:col>
      <xdr:colOff>809327</xdr:colOff>
      <xdr:row>76</xdr:row>
      <xdr:rowOff>742951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123950" y="25431751"/>
          <a:ext cx="447377" cy="685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75</xdr:row>
      <xdr:rowOff>85725</xdr:rowOff>
    </xdr:from>
    <xdr:to>
      <xdr:col>1</xdr:col>
      <xdr:colOff>990600</xdr:colOff>
      <xdr:row>75</xdr:row>
      <xdr:rowOff>704425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19175" y="24698325"/>
          <a:ext cx="733425" cy="618700"/>
        </a:xfrm>
        <a:prstGeom prst="rect">
          <a:avLst/>
        </a:prstGeom>
      </xdr:spPr>
    </xdr:pic>
    <xdr:clientData/>
  </xdr:twoCellAnchor>
  <xdr:twoCellAnchor editAs="oneCell">
    <xdr:from>
      <xdr:col>1</xdr:col>
      <xdr:colOff>227867</xdr:colOff>
      <xdr:row>77</xdr:row>
      <xdr:rowOff>31506</xdr:rowOff>
    </xdr:from>
    <xdr:to>
      <xdr:col>1</xdr:col>
      <xdr:colOff>1062724</xdr:colOff>
      <xdr:row>77</xdr:row>
      <xdr:rowOff>1012581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89867" y="26708833"/>
          <a:ext cx="834857" cy="981075"/>
        </a:xfrm>
        <a:prstGeom prst="rect">
          <a:avLst/>
        </a:prstGeom>
      </xdr:spPr>
    </xdr:pic>
    <xdr:clientData/>
  </xdr:twoCellAnchor>
  <xdr:twoCellAnchor editAs="oneCell">
    <xdr:from>
      <xdr:col>1</xdr:col>
      <xdr:colOff>175845</xdr:colOff>
      <xdr:row>80</xdr:row>
      <xdr:rowOff>80598</xdr:rowOff>
    </xdr:from>
    <xdr:to>
      <xdr:col>1</xdr:col>
      <xdr:colOff>1018312</xdr:colOff>
      <xdr:row>80</xdr:row>
      <xdr:rowOff>908540</xdr:rowOff>
    </xdr:to>
    <xdr:pic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37845" y="29241752"/>
          <a:ext cx="842467" cy="827942"/>
        </a:xfrm>
        <a:prstGeom prst="rect">
          <a:avLst/>
        </a:prstGeom>
      </xdr:spPr>
    </xdr:pic>
    <xdr:clientData/>
  </xdr:twoCellAnchor>
  <xdr:twoCellAnchor>
    <xdr:from>
      <xdr:col>11</xdr:col>
      <xdr:colOff>2010335</xdr:colOff>
      <xdr:row>3</xdr:row>
      <xdr:rowOff>145678</xdr:rowOff>
    </xdr:from>
    <xdr:to>
      <xdr:col>15</xdr:col>
      <xdr:colOff>289112</xdr:colOff>
      <xdr:row>8</xdr:row>
      <xdr:rowOff>134471</xdr:rowOff>
    </xdr:to>
    <xdr:sp macro="" textlink="">
      <xdr:nvSpPr>
        <xdr:cNvPr id="96" name="Légende : flèche vers la gauche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11701182" y="683560"/>
          <a:ext cx="3639671" cy="948017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xdr:twoCellAnchor>
    <xdr:from>
      <xdr:col>6</xdr:col>
      <xdr:colOff>607357</xdr:colOff>
      <xdr:row>4</xdr:row>
      <xdr:rowOff>17932</xdr:rowOff>
    </xdr:from>
    <xdr:to>
      <xdr:col>10</xdr:col>
      <xdr:colOff>757515</xdr:colOff>
      <xdr:row>8</xdr:row>
      <xdr:rowOff>98611</xdr:rowOff>
    </xdr:to>
    <xdr:sp macro="" textlink="">
      <xdr:nvSpPr>
        <xdr:cNvPr id="97" name="Légende : flèche vers la gauch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 flipH="1">
          <a:off x="6048933" y="735108"/>
          <a:ext cx="3610535" cy="860609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0</xdr:row>
          <xdr:rowOff>106680</xdr:rowOff>
        </xdr:from>
        <xdr:to>
          <xdr:col>11</xdr:col>
          <xdr:colOff>1775460</xdr:colOff>
          <xdr:row>4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Envoyer le devis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39</xdr:row>
      <xdr:rowOff>0</xdr:rowOff>
    </xdr:from>
    <xdr:to>
      <xdr:col>4</xdr:col>
      <xdr:colOff>428625</xdr:colOff>
      <xdr:row>39</xdr:row>
      <xdr:rowOff>0</xdr:rowOff>
    </xdr:to>
    <xdr:sp macro="" textlink="">
      <xdr:nvSpPr>
        <xdr:cNvPr id="2" name="Text Box 2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barreaudage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(Antares / Basque / Azur / Celte)</a:t>
          </a: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39</xdr:row>
      <xdr:rowOff>0</xdr:rowOff>
    </xdr:from>
    <xdr:to>
      <xdr:col>4</xdr:col>
      <xdr:colOff>428625</xdr:colOff>
      <xdr:row>39</xdr:row>
      <xdr:rowOff>0</xdr:rowOff>
    </xdr:to>
    <xdr:sp macro="" textlink="">
      <xdr:nvSpPr>
        <xdr:cNvPr id="3" name="Text Box 2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remplissage</a:t>
          </a: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(3 Vallées / Athys / Ariane)</a:t>
          </a:r>
          <a:endParaRPr lang="fr-FR" sz="11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39</xdr:row>
      <xdr:rowOff>0</xdr:rowOff>
    </xdr:from>
    <xdr:to>
      <xdr:col>4</xdr:col>
      <xdr:colOff>533400</xdr:colOff>
      <xdr:row>39</xdr:row>
      <xdr:rowOff>0</xdr:rowOff>
    </xdr:to>
    <xdr:sp macro="" textlink="">
      <xdr:nvSpPr>
        <xdr:cNvPr id="4" name="Text Box 2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571750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lisses horizontales sur ou contre muret</a:t>
          </a:r>
        </a:p>
      </xdr:txBody>
    </xdr:sp>
    <xdr:clientData/>
  </xdr:twoCellAnchor>
  <xdr:twoCellAnchor>
    <xdr:from>
      <xdr:col>1</xdr:col>
      <xdr:colOff>104775</xdr:colOff>
      <xdr:row>39</xdr:row>
      <xdr:rowOff>0</xdr:rowOff>
    </xdr:from>
    <xdr:to>
      <xdr:col>4</xdr:col>
      <xdr:colOff>428625</xdr:colOff>
      <xdr:row>39</xdr:row>
      <xdr:rowOff>0</xdr:rowOff>
    </xdr:to>
    <xdr:sp macro="" textlink="">
      <xdr:nvSpPr>
        <xdr:cNvPr id="5" name="Text Box 2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main courante ronde R460</a:t>
          </a:r>
        </a:p>
      </xdr:txBody>
    </xdr:sp>
    <xdr:clientData/>
  </xdr:twoCellAnchor>
  <xdr:twoCellAnchor>
    <xdr:from>
      <xdr:col>1</xdr:col>
      <xdr:colOff>114300</xdr:colOff>
      <xdr:row>39</xdr:row>
      <xdr:rowOff>0</xdr:rowOff>
    </xdr:from>
    <xdr:to>
      <xdr:col>4</xdr:col>
      <xdr:colOff>438150</xdr:colOff>
      <xdr:row>39</xdr:row>
      <xdr:rowOff>0</xdr:rowOff>
    </xdr:to>
    <xdr:sp macro="" textlink="">
      <xdr:nvSpPr>
        <xdr:cNvPr id="6" name="Text Box 2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828675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portails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0</xdr:rowOff>
    </xdr:from>
    <xdr:to>
      <xdr:col>3</xdr:col>
      <xdr:colOff>209550</xdr:colOff>
      <xdr:row>3</xdr:row>
      <xdr:rowOff>76200</xdr:rowOff>
    </xdr:to>
    <xdr:pic>
      <xdr:nvPicPr>
        <xdr:cNvPr id="7" name="Picture 38" descr="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5336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189034</xdr:colOff>
      <xdr:row>57</xdr:row>
      <xdr:rowOff>130423</xdr:rowOff>
    </xdr:from>
    <xdr:to>
      <xdr:col>7</xdr:col>
      <xdr:colOff>712909</xdr:colOff>
      <xdr:row>58</xdr:row>
      <xdr:rowOff>124558</xdr:rowOff>
    </xdr:to>
    <xdr:sp macro="" textlink="">
      <xdr:nvSpPr>
        <xdr:cNvPr id="8" name="Texte 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189034" y="9728692"/>
          <a:ext cx="5498856" cy="155328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S.A.S au capital de 312 500 €uros - SIREN 693 620 320 00038 ape 281 A - r.c. Bourgoin-Jallieu 693 620 320 - c.c.p.7106-86 Lyon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114300</xdr:colOff>
      <xdr:row>51</xdr:row>
      <xdr:rowOff>66675</xdr:rowOff>
    </xdr:from>
    <xdr:to>
      <xdr:col>7</xdr:col>
      <xdr:colOff>1019175</xdr:colOff>
      <xdr:row>55</xdr:row>
      <xdr:rowOff>0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4300" y="8448675"/>
          <a:ext cx="577215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100" b="1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PS : Dans le cas d'un chantier situé à proximité du littoral, merci de nous le préciser afin que nous puissions vous deviser l'option "Laquage suivant gamme renforcée".</a:t>
          </a:r>
          <a:endParaRPr lang="fr-FR" sz="110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95250</xdr:colOff>
      <xdr:row>20</xdr:row>
      <xdr:rowOff>19051</xdr:rowOff>
    </xdr:from>
    <xdr:to>
      <xdr:col>7</xdr:col>
      <xdr:colOff>962025</xdr:colOff>
      <xdr:row>47</xdr:row>
      <xdr:rowOff>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5250" y="2876551"/>
          <a:ext cx="5734050" cy="46100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vous remercions pour votre consultation référencée ci-dessus et avons le plaisir de vous adresser ci-joint notre meilleure offre de prix.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Cette offre est basée sur les éléments transmis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par vos soins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en cas de commande, la facturation se fera sur le montant du prêsent devis.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Toute modification, technique ou dimensionnelle fera l’objet d’une revalorisation. 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garde-corps aluminium sont en modules standards de 1468mm, les môdules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 à ajuster par vos soins.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délais actuels 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(hors période de congés)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 :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- 5</a:t>
          </a:r>
          <a:r>
            <a:rPr lang="fr-FR" sz="1100" b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semaines (départ usine)</a:t>
          </a: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prix sont établis hors taxe, en 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FOURNITURE SEULE et FRANCO DE PORT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 Ils sont nets, remise déduite pour la globalité de l’offre, et fermes pour livraison en une seule fois dans les </a:t>
          </a:r>
          <a:r>
            <a:rPr lang="fr-FR" sz="1100" b="1" u="sng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trois mois date de l’offre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Le support béton est considéré comme suffisant pour permettre un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chevillage</a:t>
          </a:r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conforme au devis.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endParaRPr lang="fr-FR" sz="1100" i="1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restons à votre entière disposition pour affiner cette offre, et dans l’espoir d’une suite favorable, nous vous adressons, Madame, Monsieur, nos très sincères salutations.</a:t>
          </a:r>
          <a:endParaRPr lang="fr-F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161925</xdr:colOff>
      <xdr:row>76</xdr:row>
      <xdr:rowOff>114300</xdr:rowOff>
    </xdr:from>
    <xdr:to>
      <xdr:col>1</xdr:col>
      <xdr:colOff>346472</xdr:colOff>
      <xdr:row>81</xdr:row>
      <xdr:rowOff>2287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" y="13506450"/>
          <a:ext cx="898922" cy="582139"/>
        </a:xfrm>
        <a:prstGeom prst="rect">
          <a:avLst/>
        </a:prstGeom>
      </xdr:spPr>
    </xdr:pic>
    <xdr:clientData/>
  </xdr:twoCellAnchor>
  <xdr:twoCellAnchor editAs="oneCell">
    <xdr:from>
      <xdr:col>0</xdr:col>
      <xdr:colOff>88656</xdr:colOff>
      <xdr:row>122</xdr:row>
      <xdr:rowOff>43961</xdr:rowOff>
    </xdr:from>
    <xdr:to>
      <xdr:col>1</xdr:col>
      <xdr:colOff>513130</xdr:colOff>
      <xdr:row>126</xdr:row>
      <xdr:rowOff>134832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656" y="19211192"/>
          <a:ext cx="1155847" cy="594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361950</xdr:colOff>
      <xdr:row>134</xdr:row>
      <xdr:rowOff>76200</xdr:rowOff>
    </xdr:from>
    <xdr:to>
      <xdr:col>1</xdr:col>
      <xdr:colOff>243840</xdr:colOff>
      <xdr:row>139</xdr:row>
      <xdr:rowOff>3076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21821775"/>
          <a:ext cx="600075" cy="60007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64</xdr:row>
      <xdr:rowOff>114301</xdr:rowOff>
    </xdr:from>
    <xdr:to>
      <xdr:col>1</xdr:col>
      <xdr:colOff>628037</xdr:colOff>
      <xdr:row>70</xdr:row>
      <xdr:rowOff>133351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" y="11477626"/>
          <a:ext cx="1290977" cy="1047750"/>
        </a:xfrm>
        <a:prstGeom prst="rect">
          <a:avLst/>
        </a:prstGeom>
      </xdr:spPr>
    </xdr:pic>
    <xdr:clientData/>
  </xdr:twoCellAnchor>
  <xdr:twoCellAnchor editAs="oneCell">
    <xdr:from>
      <xdr:col>0</xdr:col>
      <xdr:colOff>133349</xdr:colOff>
      <xdr:row>82</xdr:row>
      <xdr:rowOff>123825</xdr:rowOff>
    </xdr:from>
    <xdr:to>
      <xdr:col>1</xdr:col>
      <xdr:colOff>439959</xdr:colOff>
      <xdr:row>86</xdr:row>
      <xdr:rowOff>135402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3349" y="14363700"/>
          <a:ext cx="1017175" cy="561975"/>
        </a:xfrm>
        <a:prstGeom prst="rect">
          <a:avLst/>
        </a:prstGeom>
      </xdr:spPr>
    </xdr:pic>
    <xdr:clientData/>
  </xdr:twoCellAnchor>
  <xdr:twoCellAnchor editAs="oneCell">
    <xdr:from>
      <xdr:col>0</xdr:col>
      <xdr:colOff>254976</xdr:colOff>
      <xdr:row>87</xdr:row>
      <xdr:rowOff>57150</xdr:rowOff>
    </xdr:from>
    <xdr:to>
      <xdr:col>1</xdr:col>
      <xdr:colOff>302601</xdr:colOff>
      <xdr:row>92</xdr:row>
      <xdr:rowOff>59111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976" y="14227419"/>
          <a:ext cx="765663" cy="687468"/>
        </a:xfrm>
        <a:prstGeom prst="rect">
          <a:avLst/>
        </a:prstGeom>
      </xdr:spPr>
    </xdr:pic>
    <xdr:clientData/>
  </xdr:twoCellAnchor>
  <xdr:twoCellAnchor editAs="oneCell">
    <xdr:from>
      <xdr:col>0</xdr:col>
      <xdr:colOff>66676</xdr:colOff>
      <xdr:row>94</xdr:row>
      <xdr:rowOff>47625</xdr:rowOff>
    </xdr:from>
    <xdr:to>
      <xdr:col>0</xdr:col>
      <xdr:colOff>626060</xdr:colOff>
      <xdr:row>97</xdr:row>
      <xdr:rowOff>15240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6676" y="16087725"/>
          <a:ext cx="547954" cy="447675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94</xdr:row>
      <xdr:rowOff>104775</xdr:rowOff>
    </xdr:from>
    <xdr:to>
      <xdr:col>1</xdr:col>
      <xdr:colOff>569416</xdr:colOff>
      <xdr:row>97</xdr:row>
      <xdr:rowOff>91440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5800" y="16144875"/>
          <a:ext cx="597991" cy="46672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100</xdr:row>
      <xdr:rowOff>76200</xdr:rowOff>
    </xdr:from>
    <xdr:to>
      <xdr:col>1</xdr:col>
      <xdr:colOff>17600</xdr:colOff>
      <xdr:row>103</xdr:row>
      <xdr:rowOff>20955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7150" y="16935450"/>
          <a:ext cx="688160" cy="428625"/>
        </a:xfrm>
        <a:prstGeom prst="rect">
          <a:avLst/>
        </a:prstGeom>
      </xdr:spPr>
    </xdr:pic>
    <xdr:clientData/>
  </xdr:twoCellAnchor>
  <xdr:twoCellAnchor editAs="oneCell">
    <xdr:from>
      <xdr:col>0</xdr:col>
      <xdr:colOff>695326</xdr:colOff>
      <xdr:row>100</xdr:row>
      <xdr:rowOff>47626</xdr:rowOff>
    </xdr:from>
    <xdr:to>
      <xdr:col>1</xdr:col>
      <xdr:colOff>628319</xdr:colOff>
      <xdr:row>104</xdr:row>
      <xdr:rowOff>1906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95326" y="16906876"/>
          <a:ext cx="643558" cy="533400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106</xdr:row>
      <xdr:rowOff>18317</xdr:rowOff>
    </xdr:from>
    <xdr:to>
      <xdr:col>1</xdr:col>
      <xdr:colOff>320040</xdr:colOff>
      <xdr:row>110</xdr:row>
      <xdr:rowOff>149029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3850" y="16965490"/>
          <a:ext cx="718038" cy="709539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123826</xdr:colOff>
      <xdr:row>112</xdr:row>
      <xdr:rowOff>137081</xdr:rowOff>
    </xdr:from>
    <xdr:to>
      <xdr:col>1</xdr:col>
      <xdr:colOff>571501</xdr:colOff>
      <xdr:row>116</xdr:row>
      <xdr:rowOff>92921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8806081"/>
          <a:ext cx="1162050" cy="501403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123826</xdr:colOff>
      <xdr:row>118</xdr:row>
      <xdr:rowOff>4037</xdr:rowOff>
    </xdr:from>
    <xdr:to>
      <xdr:col>1</xdr:col>
      <xdr:colOff>551710</xdr:colOff>
      <xdr:row>121</xdr:row>
      <xdr:rowOff>59353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9654112"/>
          <a:ext cx="1155594" cy="482035"/>
        </a:xfrm>
        <a:prstGeom prst="rect">
          <a:avLst/>
        </a:prstGeom>
      </xdr:spPr>
    </xdr:pic>
    <xdr:clientData/>
  </xdr:twoCellAnchor>
  <xdr:twoCellAnchor>
    <xdr:from>
      <xdr:col>0</xdr:col>
      <xdr:colOff>377336</xdr:colOff>
      <xdr:row>127</xdr:row>
      <xdr:rowOff>8789</xdr:rowOff>
    </xdr:from>
    <xdr:to>
      <xdr:col>1</xdr:col>
      <xdr:colOff>227135</xdr:colOff>
      <xdr:row>132</xdr:row>
      <xdr:rowOff>95249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7336" y="21007751"/>
          <a:ext cx="567837" cy="89242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4</xdr:col>
      <xdr:colOff>278424</xdr:colOff>
      <xdr:row>129</xdr:row>
      <xdr:rowOff>36635</xdr:rowOff>
    </xdr:from>
    <xdr:to>
      <xdr:col>5</xdr:col>
      <xdr:colOff>1</xdr:colOff>
      <xdr:row>132</xdr:row>
      <xdr:rowOff>1440</xdr:rowOff>
    </xdr:to>
    <xdr:pic>
      <xdr:nvPicPr>
        <xdr:cNvPr id="18" name="Image 17">
          <a:hlinkClick xmlns:r="http://schemas.openxmlformats.org/officeDocument/2006/relationships" r:id="rId16" tooltip="Cliqez ici !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38501" y="21357981"/>
          <a:ext cx="439615" cy="448382"/>
        </a:xfrm>
        <a:prstGeom prst="rect">
          <a:avLst/>
        </a:prstGeom>
      </xdr:spPr>
    </xdr:pic>
    <xdr:clientData/>
  </xdr:twoCellAnchor>
  <xdr:twoCellAnchor editAs="oneCell">
    <xdr:from>
      <xdr:col>0</xdr:col>
      <xdr:colOff>234461</xdr:colOff>
      <xdr:row>141</xdr:row>
      <xdr:rowOff>124558</xdr:rowOff>
    </xdr:from>
    <xdr:to>
      <xdr:col>1</xdr:col>
      <xdr:colOff>323703</xdr:colOff>
      <xdr:row>145</xdr:row>
      <xdr:rowOff>56417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461" y="21687693"/>
          <a:ext cx="820615" cy="61546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SERVICE%20DEVIS\OUTILS%20CALCULS\SOHERMEL%20MATRICE%20HORIZAL%20-%20Version%20MAI%20et%20JUIN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LE CALCUL"/>
      <sheetName val="DEVIS"/>
      <sheetName val="MOTIF"/>
      <sheetName val="Transport"/>
    </sheetNames>
    <sheetDataSet>
      <sheetData sheetId="0"/>
      <sheetData sheetId="1"/>
      <sheetData sheetId="2">
        <row r="6">
          <cell r="B6" t="str">
            <v>GRANDE CYNTHE - EP 4MM</v>
          </cell>
        </row>
        <row r="7">
          <cell r="B7" t="str">
            <v>KRE6 - EP 2MM</v>
          </cell>
        </row>
        <row r="8">
          <cell r="B8" t="str">
            <v>ERABLES - EP 2MM</v>
          </cell>
        </row>
        <row r="9">
          <cell r="B9" t="str">
            <v>SAULES - EP 2MM</v>
          </cell>
        </row>
        <row r="10">
          <cell r="B10" t="str">
            <v>501 MOTIF METROPOLIS - EP 2MM</v>
          </cell>
        </row>
        <row r="11">
          <cell r="B11" t="str">
            <v>502 MOTIF DIAGONALES - EP 2MM</v>
          </cell>
        </row>
        <row r="12">
          <cell r="B12" t="str">
            <v>503 MOTIF ABSTRACTIONS - EP 2MM</v>
          </cell>
        </row>
        <row r="13">
          <cell r="B13" t="str">
            <v>504 MOTIF PERFORATIONS - EP 2MM</v>
          </cell>
        </row>
        <row r="14">
          <cell r="B14" t="str">
            <v>505 MOTIF PERSPECTIVE - EP 2MM</v>
          </cell>
        </row>
        <row r="15">
          <cell r="B15" t="str">
            <v>506 MOTIF RYTHMES - EP 2MM</v>
          </cell>
        </row>
        <row r="16">
          <cell r="B16" t="str">
            <v>507 MOTIF NATURA - EP 2MM</v>
          </cell>
        </row>
        <row r="17">
          <cell r="B17" t="str">
            <v>508 MOTIF RYTHMES ET BULLES - EP 2MM</v>
          </cell>
        </row>
        <row r="18">
          <cell r="B18" t="str">
            <v>509 MOTIF WAWAS - EP 2MM</v>
          </cell>
        </row>
        <row r="19">
          <cell r="B19" t="str">
            <v>510 MOTIS CARRES - EP 2MM</v>
          </cell>
        </row>
        <row r="20">
          <cell r="B20" t="str">
            <v>511 MOTIF EXPLOSIONS - EP 2MM</v>
          </cell>
        </row>
        <row r="21">
          <cell r="B21" t="str">
            <v>512 MOTIF BULLES - EP 2MM</v>
          </cell>
        </row>
        <row r="22">
          <cell r="B22" t="str">
            <v>513 MOTIF ART DECO - EP 2MM</v>
          </cell>
        </row>
        <row r="23">
          <cell r="B23" t="str">
            <v>514 MOTIF BULLES ET ONDES - EP 2MM</v>
          </cell>
        </row>
        <row r="24">
          <cell r="B24" t="str">
            <v>515 MOTIF STRUCTURES - EP 2MM</v>
          </cell>
        </row>
        <row r="25">
          <cell r="B25" t="str">
            <v>516 MOTIF LABYRINTHE - EP 2MM</v>
          </cell>
        </row>
        <row r="26">
          <cell r="B26" t="str">
            <v>KRE6  - EP 3MM</v>
          </cell>
        </row>
        <row r="27">
          <cell r="B27" t="str">
            <v>ERABLES  - EP 3MM</v>
          </cell>
        </row>
        <row r="28">
          <cell r="B28" t="str">
            <v>SAULES  - EP 3MM</v>
          </cell>
        </row>
        <row r="29">
          <cell r="B29" t="str">
            <v>501 MOTIF METROPOLIS  - EP 3MM</v>
          </cell>
        </row>
        <row r="30">
          <cell r="B30" t="str">
            <v>502 MOTIF DIAGONALES  - EP 3MM</v>
          </cell>
        </row>
        <row r="31">
          <cell r="B31" t="str">
            <v>503 MOTIF ABSTRACTIONS  - EP 3MM</v>
          </cell>
        </row>
        <row r="32">
          <cell r="B32" t="str">
            <v>504 MOTIF PERFORATIONS  - EP 3MM</v>
          </cell>
        </row>
        <row r="33">
          <cell r="B33" t="str">
            <v>505 MOTIF PERSPECTIVE  - EP 3MM</v>
          </cell>
        </row>
        <row r="34">
          <cell r="B34" t="str">
            <v>506 MOTIF RYTHMES  - EP 3MM</v>
          </cell>
        </row>
        <row r="35">
          <cell r="B35" t="str">
            <v>507 MOTIF NATURA  - EP 3MM</v>
          </cell>
        </row>
        <row r="36">
          <cell r="B36" t="str">
            <v>508 MOTIF RYTHMES ET BULLES  - EP 3MM</v>
          </cell>
        </row>
        <row r="37">
          <cell r="B37" t="str">
            <v>509 MOTIF WAWAS  - EP 3MM</v>
          </cell>
        </row>
        <row r="38">
          <cell r="B38" t="str">
            <v>510 MOTIS CARRES  - EP 3MM</v>
          </cell>
        </row>
        <row r="39">
          <cell r="B39" t="str">
            <v>511 MOTIF EXPLOSIONS  - EP 3MM</v>
          </cell>
        </row>
        <row r="40">
          <cell r="B40" t="str">
            <v>512 MOTIF BULLES  - EP 3MM</v>
          </cell>
        </row>
        <row r="41">
          <cell r="B41" t="str">
            <v>513 MOTIF ART DECO  - EP 3MM</v>
          </cell>
        </row>
        <row r="42">
          <cell r="B42" t="str">
            <v>514 MOTIF BULLES ET ONDES  - EP 3MM</v>
          </cell>
        </row>
        <row r="43">
          <cell r="B43" t="str">
            <v>515 MOTIF STRUCTURES  - EP 3MM</v>
          </cell>
        </row>
        <row r="44">
          <cell r="B44" t="str">
            <v>516 MOTIF LABYRINTHE  - EP 3MM</v>
          </cell>
        </row>
      </sheetData>
      <sheetData sheetId="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laurentdelhorme@horiza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odural@horizal.com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hervedemeulemeester@horizal.com" TargetMode="External"/><Relationship Id="rId21" Type="http://schemas.openxmlformats.org/officeDocument/2006/relationships/hyperlink" Target="mailto:frederictarel@horizal.com" TargetMode="External"/><Relationship Id="rId42" Type="http://schemas.openxmlformats.org/officeDocument/2006/relationships/hyperlink" Target="mailto:olivierrinaldi@horizal.com" TargetMode="External"/><Relationship Id="rId47" Type="http://schemas.openxmlformats.org/officeDocument/2006/relationships/hyperlink" Target="mailto:philipperoudil@horizal.com" TargetMode="External"/><Relationship Id="rId63" Type="http://schemas.openxmlformats.org/officeDocument/2006/relationships/hyperlink" Target="mailto:yannnoblet@horizal.com" TargetMode="External"/><Relationship Id="rId68" Type="http://schemas.openxmlformats.org/officeDocument/2006/relationships/hyperlink" Target="mailto:arnauddroulez@horizal.com" TargetMode="External"/><Relationship Id="rId2" Type="http://schemas.openxmlformats.org/officeDocument/2006/relationships/hyperlink" Target="mailto:hervedemeulemeester@horizal.com" TargetMode="External"/><Relationship Id="rId16" Type="http://schemas.openxmlformats.org/officeDocument/2006/relationships/hyperlink" Target="mailto:frederictarel@horizal.com" TargetMode="External"/><Relationship Id="rId29" Type="http://schemas.openxmlformats.org/officeDocument/2006/relationships/hyperlink" Target="mailto:lioneldelange@horizal.com" TargetMode="External"/><Relationship Id="rId11" Type="http://schemas.openxmlformats.org/officeDocument/2006/relationships/hyperlink" Target="mailto:dominiquegirard@horizal.com" TargetMode="External"/><Relationship Id="rId24" Type="http://schemas.openxmlformats.org/officeDocument/2006/relationships/hyperlink" Target="mailto:hervedemeulemeester@horizal.com" TargetMode="External"/><Relationship Id="rId32" Type="http://schemas.openxmlformats.org/officeDocument/2006/relationships/hyperlink" Target="mailto:lioneldelange@horizal.com" TargetMode="External"/><Relationship Id="rId37" Type="http://schemas.openxmlformats.org/officeDocument/2006/relationships/hyperlink" Target="mailto:olivierrinaldi@horizal.com" TargetMode="External"/><Relationship Id="rId40" Type="http://schemas.openxmlformats.org/officeDocument/2006/relationships/hyperlink" Target="mailto:olivierrinaldi@horizal.com" TargetMode="External"/><Relationship Id="rId45" Type="http://schemas.openxmlformats.org/officeDocument/2006/relationships/hyperlink" Target="mailto:philipperoudil@horizal.com" TargetMode="External"/><Relationship Id="rId53" Type="http://schemas.openxmlformats.org/officeDocument/2006/relationships/hyperlink" Target="mailto:philipperoudil@horizal.com" TargetMode="External"/><Relationship Id="rId58" Type="http://schemas.openxmlformats.org/officeDocument/2006/relationships/hyperlink" Target="mailto:yannnoblet@horizal.com" TargetMode="External"/><Relationship Id="rId66" Type="http://schemas.openxmlformats.org/officeDocument/2006/relationships/hyperlink" Target="mailto:arnauddroulez@horizal.com" TargetMode="External"/><Relationship Id="rId74" Type="http://schemas.openxmlformats.org/officeDocument/2006/relationships/hyperlink" Target="mailto:arnauddroulez@horizal.com" TargetMode="External"/><Relationship Id="rId5" Type="http://schemas.openxmlformats.org/officeDocument/2006/relationships/hyperlink" Target="mailto:dominiquegirard@horizal.com" TargetMode="External"/><Relationship Id="rId61" Type="http://schemas.openxmlformats.org/officeDocument/2006/relationships/hyperlink" Target="mailto:yannnoblet@horizal.com" TargetMode="External"/><Relationship Id="rId19" Type="http://schemas.openxmlformats.org/officeDocument/2006/relationships/hyperlink" Target="mailto:frederictarel@horizal.com" TargetMode="External"/><Relationship Id="rId14" Type="http://schemas.openxmlformats.org/officeDocument/2006/relationships/hyperlink" Target="mailto:frederictarel@horizal.com" TargetMode="External"/><Relationship Id="rId22" Type="http://schemas.openxmlformats.org/officeDocument/2006/relationships/hyperlink" Target="mailto:hervedemeulemeester@horizal.com" TargetMode="External"/><Relationship Id="rId27" Type="http://schemas.openxmlformats.org/officeDocument/2006/relationships/hyperlink" Target="mailto:lioneldelange@horizal.com" TargetMode="External"/><Relationship Id="rId30" Type="http://schemas.openxmlformats.org/officeDocument/2006/relationships/hyperlink" Target="mailto:lioneldelange@horizal.com" TargetMode="External"/><Relationship Id="rId35" Type="http://schemas.openxmlformats.org/officeDocument/2006/relationships/hyperlink" Target="mailto:olivierrinaldi@horizal.com" TargetMode="External"/><Relationship Id="rId43" Type="http://schemas.openxmlformats.org/officeDocument/2006/relationships/hyperlink" Target="mailto:olivierrinaldi@horizal.com" TargetMode="External"/><Relationship Id="rId48" Type="http://schemas.openxmlformats.org/officeDocument/2006/relationships/hyperlink" Target="mailto:philipperoudil@horizal.com" TargetMode="External"/><Relationship Id="rId56" Type="http://schemas.openxmlformats.org/officeDocument/2006/relationships/hyperlink" Target="mailto:yannnoblet@horizal.com" TargetMode="External"/><Relationship Id="rId64" Type="http://schemas.openxmlformats.org/officeDocument/2006/relationships/hyperlink" Target="mailto:lioneldelange@horizal.com" TargetMode="External"/><Relationship Id="rId69" Type="http://schemas.openxmlformats.org/officeDocument/2006/relationships/hyperlink" Target="mailto:arnauddroulez@horizal.com" TargetMode="External"/><Relationship Id="rId8" Type="http://schemas.openxmlformats.org/officeDocument/2006/relationships/hyperlink" Target="mailto:dominiquegirard@horizal.com" TargetMode="External"/><Relationship Id="rId51" Type="http://schemas.openxmlformats.org/officeDocument/2006/relationships/hyperlink" Target="mailto:philipperoudil@horizal.com" TargetMode="External"/><Relationship Id="rId72" Type="http://schemas.openxmlformats.org/officeDocument/2006/relationships/hyperlink" Target="mailto:arnauddroulez@horizal.com" TargetMode="External"/><Relationship Id="rId3" Type="http://schemas.openxmlformats.org/officeDocument/2006/relationships/hyperlink" Target="mailto:arnauddroulez@horizal.com" TargetMode="External"/><Relationship Id="rId12" Type="http://schemas.openxmlformats.org/officeDocument/2006/relationships/hyperlink" Target="mailto:frederictarel@horizal.com" TargetMode="External"/><Relationship Id="rId17" Type="http://schemas.openxmlformats.org/officeDocument/2006/relationships/hyperlink" Target="mailto:frederictarel@horizal.com" TargetMode="External"/><Relationship Id="rId25" Type="http://schemas.openxmlformats.org/officeDocument/2006/relationships/hyperlink" Target="mailto:hervedemeulemeester@horizal.com" TargetMode="External"/><Relationship Id="rId33" Type="http://schemas.openxmlformats.org/officeDocument/2006/relationships/hyperlink" Target="mailto:lioneldelange@horizal.com" TargetMode="External"/><Relationship Id="rId38" Type="http://schemas.openxmlformats.org/officeDocument/2006/relationships/hyperlink" Target="mailto:olivierrinaldi@horizal.com" TargetMode="External"/><Relationship Id="rId46" Type="http://schemas.openxmlformats.org/officeDocument/2006/relationships/hyperlink" Target="mailto:philipperoudil@horizal.com" TargetMode="External"/><Relationship Id="rId59" Type="http://schemas.openxmlformats.org/officeDocument/2006/relationships/hyperlink" Target="mailto:yannnoblet@horizal.com" TargetMode="External"/><Relationship Id="rId67" Type="http://schemas.openxmlformats.org/officeDocument/2006/relationships/hyperlink" Target="mailto:arnauddroulez@horizal.com" TargetMode="External"/><Relationship Id="rId20" Type="http://schemas.openxmlformats.org/officeDocument/2006/relationships/hyperlink" Target="mailto:frederictarel@horizal.com" TargetMode="External"/><Relationship Id="rId41" Type="http://schemas.openxmlformats.org/officeDocument/2006/relationships/hyperlink" Target="mailto:olivierrinaldi@horizal.com" TargetMode="External"/><Relationship Id="rId54" Type="http://schemas.openxmlformats.org/officeDocument/2006/relationships/hyperlink" Target="mailto:yannnoblet@horizal.com" TargetMode="External"/><Relationship Id="rId62" Type="http://schemas.openxmlformats.org/officeDocument/2006/relationships/hyperlink" Target="mailto:yannnoblet@horizal.com" TargetMode="External"/><Relationship Id="rId70" Type="http://schemas.openxmlformats.org/officeDocument/2006/relationships/hyperlink" Target="mailto:arnauddroulez@horizal.com" TargetMode="External"/><Relationship Id="rId75" Type="http://schemas.openxmlformats.org/officeDocument/2006/relationships/hyperlink" Target="mailto:frederictarel@horizal.com" TargetMode="External"/><Relationship Id="rId1" Type="http://schemas.openxmlformats.org/officeDocument/2006/relationships/hyperlink" Target="mailto:philipperoudil@horizal.com" TargetMode="External"/><Relationship Id="rId6" Type="http://schemas.openxmlformats.org/officeDocument/2006/relationships/hyperlink" Target="mailto:dominiquegirard@horizal.com" TargetMode="External"/><Relationship Id="rId15" Type="http://schemas.openxmlformats.org/officeDocument/2006/relationships/hyperlink" Target="mailto:frederictarel@horizal.com" TargetMode="External"/><Relationship Id="rId23" Type="http://schemas.openxmlformats.org/officeDocument/2006/relationships/hyperlink" Target="mailto:hervedemeulemeester@horizal.com" TargetMode="External"/><Relationship Id="rId28" Type="http://schemas.openxmlformats.org/officeDocument/2006/relationships/hyperlink" Target="mailto:lioneldelange@horizal.com" TargetMode="External"/><Relationship Id="rId36" Type="http://schemas.openxmlformats.org/officeDocument/2006/relationships/hyperlink" Target="mailto:olivierrinaldi@horizal.com" TargetMode="External"/><Relationship Id="rId49" Type="http://schemas.openxmlformats.org/officeDocument/2006/relationships/hyperlink" Target="mailto:philipperoudil@horizal.com" TargetMode="External"/><Relationship Id="rId57" Type="http://schemas.openxmlformats.org/officeDocument/2006/relationships/hyperlink" Target="mailto:yannnoblet@horizal.com" TargetMode="External"/><Relationship Id="rId10" Type="http://schemas.openxmlformats.org/officeDocument/2006/relationships/hyperlink" Target="mailto:dominiquegirard@horizal.com" TargetMode="External"/><Relationship Id="rId31" Type="http://schemas.openxmlformats.org/officeDocument/2006/relationships/hyperlink" Target="mailto:lioneldelange@horizal.com" TargetMode="External"/><Relationship Id="rId44" Type="http://schemas.openxmlformats.org/officeDocument/2006/relationships/hyperlink" Target="mailto:philipperoudil@horizal.com" TargetMode="External"/><Relationship Id="rId52" Type="http://schemas.openxmlformats.org/officeDocument/2006/relationships/hyperlink" Target="mailto:philipperoudil@horizal.com" TargetMode="External"/><Relationship Id="rId60" Type="http://schemas.openxmlformats.org/officeDocument/2006/relationships/hyperlink" Target="mailto:yannnoblet@horizal.com" TargetMode="External"/><Relationship Id="rId65" Type="http://schemas.openxmlformats.org/officeDocument/2006/relationships/hyperlink" Target="mailto:dominiquegirard@horizal.com" TargetMode="External"/><Relationship Id="rId73" Type="http://schemas.openxmlformats.org/officeDocument/2006/relationships/hyperlink" Target="mailto:arnauddroulez@horizal.com" TargetMode="External"/><Relationship Id="rId4" Type="http://schemas.openxmlformats.org/officeDocument/2006/relationships/hyperlink" Target="mailto:dominiquegirard@horizal.com" TargetMode="External"/><Relationship Id="rId9" Type="http://schemas.openxmlformats.org/officeDocument/2006/relationships/hyperlink" Target="mailto:dominiquegirard@horizal.com" TargetMode="External"/><Relationship Id="rId13" Type="http://schemas.openxmlformats.org/officeDocument/2006/relationships/hyperlink" Target="mailto:frederictarel@horizal.com" TargetMode="External"/><Relationship Id="rId18" Type="http://schemas.openxmlformats.org/officeDocument/2006/relationships/hyperlink" Target="mailto:frederictarel@horizal.com" TargetMode="External"/><Relationship Id="rId39" Type="http://schemas.openxmlformats.org/officeDocument/2006/relationships/hyperlink" Target="mailto:olivierrinaldi@horizal.com" TargetMode="External"/><Relationship Id="rId34" Type="http://schemas.openxmlformats.org/officeDocument/2006/relationships/hyperlink" Target="mailto:olivierrinaldi@horizal.com" TargetMode="External"/><Relationship Id="rId50" Type="http://schemas.openxmlformats.org/officeDocument/2006/relationships/hyperlink" Target="mailto:philipperoudil@horizal.com" TargetMode="External"/><Relationship Id="rId55" Type="http://schemas.openxmlformats.org/officeDocument/2006/relationships/hyperlink" Target="mailto:yannnoblet@horizal.com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mailto:dominiquegirard@horizal.com" TargetMode="External"/><Relationship Id="rId71" Type="http://schemas.openxmlformats.org/officeDocument/2006/relationships/hyperlink" Target="mailto:arnauddroulez@horiza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E067A-4A9F-45F8-A851-6F2762779787}">
  <sheetPr codeName="Feuil1"/>
  <dimension ref="A7:Q141"/>
  <sheetViews>
    <sheetView showGridLines="0" tabSelected="1" zoomScale="85" zoomScaleNormal="85" workbookViewId="0">
      <selection activeCell="C65" sqref="C65"/>
    </sheetView>
  </sheetViews>
  <sheetFormatPr baseColWidth="10" defaultRowHeight="14.4" x14ac:dyDescent="0.3"/>
  <cols>
    <col min="1" max="1" width="14.88671875" customWidth="1"/>
    <col min="2" max="2" width="18.44140625" customWidth="1"/>
    <col min="7" max="7" width="16" bestFit="1" customWidth="1"/>
    <col min="12" max="12" width="41.88671875" customWidth="1"/>
    <col min="15" max="15" width="13.33203125" bestFit="1" customWidth="1"/>
    <col min="19" max="19" width="21.109375" customWidth="1"/>
  </cols>
  <sheetData>
    <row r="7" spans="12:12" ht="15" customHeight="1" x14ac:dyDescent="0.3">
      <c r="L7" s="130" t="s">
        <v>209</v>
      </c>
    </row>
    <row r="8" spans="12:12" ht="15" customHeight="1" x14ac:dyDescent="0.3">
      <c r="L8" s="131">
        <v>9010</v>
      </c>
    </row>
    <row r="9" spans="12:12" x14ac:dyDescent="0.3">
      <c r="L9" s="132"/>
    </row>
    <row r="10" spans="12:12" ht="39.75" customHeight="1" x14ac:dyDescent="0.3">
      <c r="L10" s="130" t="s">
        <v>235</v>
      </c>
    </row>
    <row r="11" spans="12:12" ht="15" customHeight="1" x14ac:dyDescent="0.3">
      <c r="L11" s="131" t="s">
        <v>236</v>
      </c>
    </row>
    <row r="12" spans="12:12" x14ac:dyDescent="0.3">
      <c r="L12" s="132"/>
    </row>
    <row r="13" spans="12:12" ht="15" customHeight="1" x14ac:dyDescent="0.3">
      <c r="L13" s="130">
        <v>95970</v>
      </c>
    </row>
    <row r="14" spans="12:12" ht="15" customHeight="1" x14ac:dyDescent="0.3">
      <c r="L14" s="131">
        <v>1</v>
      </c>
    </row>
    <row r="15" spans="12:12" x14ac:dyDescent="0.3">
      <c r="L15" s="132"/>
    </row>
    <row r="16" spans="12:12" ht="15" customHeight="1" x14ac:dyDescent="0.3">
      <c r="L16" s="130">
        <v>95974</v>
      </c>
    </row>
    <row r="17" spans="1:16" ht="15" customHeight="1" x14ac:dyDescent="0.3">
      <c r="L17" s="131">
        <v>4</v>
      </c>
    </row>
    <row r="18" spans="1:16" x14ac:dyDescent="0.3">
      <c r="A18" t="s">
        <v>5</v>
      </c>
      <c r="D18" s="148" t="str">
        <f>$L$38</f>
        <v xml:space="preserve">toto </v>
      </c>
      <c r="E18" s="148"/>
      <c r="F18" s="148"/>
      <c r="G18" s="148"/>
      <c r="L18" s="132"/>
    </row>
    <row r="19" spans="1:16" ht="15" customHeight="1" x14ac:dyDescent="0.3">
      <c r="A19" t="s">
        <v>8</v>
      </c>
      <c r="D19" s="151">
        <f ca="1">TODAY()</f>
        <v>44936</v>
      </c>
      <c r="E19" s="152"/>
      <c r="F19" s="152"/>
      <c r="G19" s="152"/>
      <c r="L19" s="130">
        <v>95975</v>
      </c>
    </row>
    <row r="20" spans="1:16" ht="15" customHeight="1" x14ac:dyDescent="0.3">
      <c r="L20" s="131">
        <v>5</v>
      </c>
    </row>
    <row r="21" spans="1:16" x14ac:dyDescent="0.3">
      <c r="L21" s="132"/>
    </row>
    <row r="22" spans="1:16" ht="15" customHeight="1" x14ac:dyDescent="0.3">
      <c r="A22" t="s">
        <v>7</v>
      </c>
      <c r="D22" s="148" t="str">
        <f>$L$41</f>
        <v xml:space="preserve">horizal </v>
      </c>
      <c r="E22" s="148"/>
      <c r="F22" s="148"/>
      <c r="G22" s="148"/>
      <c r="L22" s="130">
        <v>95976</v>
      </c>
    </row>
    <row r="23" spans="1:16" ht="15" customHeight="1" x14ac:dyDescent="0.3">
      <c r="A23" t="s">
        <v>6</v>
      </c>
      <c r="D23" s="148" t="str">
        <f>$L$44</f>
        <v xml:space="preserve">174 route de lyon </v>
      </c>
      <c r="E23" s="148"/>
      <c r="F23" s="148"/>
      <c r="G23" s="148"/>
      <c r="L23" s="131">
        <v>6</v>
      </c>
    </row>
    <row r="24" spans="1:16" x14ac:dyDescent="0.3">
      <c r="A24" t="s">
        <v>72</v>
      </c>
      <c r="D24" s="148">
        <f>$L$47</f>
        <v>38300</v>
      </c>
      <c r="E24" s="148"/>
      <c r="F24" s="148"/>
      <c r="G24" s="148"/>
      <c r="L24" s="132"/>
    </row>
    <row r="25" spans="1:16" ht="15" customHeight="1" x14ac:dyDescent="0.3">
      <c r="A25" t="s">
        <v>60</v>
      </c>
      <c r="D25" s="155" t="str">
        <f>$L$50</f>
        <v xml:space="preserve">bourgoin jallieu </v>
      </c>
      <c r="E25" s="156"/>
      <c r="F25" s="156"/>
      <c r="G25" s="157"/>
      <c r="L25" s="130">
        <v>95973</v>
      </c>
    </row>
    <row r="26" spans="1:16" ht="15" customHeight="1" x14ac:dyDescent="0.3">
      <c r="A26" t="s">
        <v>46</v>
      </c>
      <c r="D26" s="148" t="str">
        <f>$L$53</f>
        <v xml:space="preserve">laurent </v>
      </c>
      <c r="E26" s="148"/>
      <c r="F26" s="148"/>
      <c r="G26" s="148"/>
      <c r="L26" s="131">
        <v>7</v>
      </c>
    </row>
    <row r="27" spans="1:16" x14ac:dyDescent="0.3">
      <c r="D27" s="149"/>
      <c r="E27" s="149"/>
      <c r="F27" s="149"/>
      <c r="G27" s="149"/>
      <c r="L27" s="132"/>
    </row>
    <row r="28" spans="1:16" ht="15" customHeight="1" x14ac:dyDescent="0.3">
      <c r="D28" s="153"/>
      <c r="E28" s="153"/>
      <c r="F28" s="153"/>
      <c r="G28" s="153"/>
      <c r="L28" s="130">
        <v>95978</v>
      </c>
    </row>
    <row r="29" spans="1:16" ht="15" customHeight="1" x14ac:dyDescent="0.3">
      <c r="A29" t="s">
        <v>10</v>
      </c>
      <c r="D29" s="154">
        <f>$L$56</f>
        <v>679704508</v>
      </c>
      <c r="E29" s="154"/>
      <c r="F29" s="154"/>
      <c r="G29" s="154"/>
      <c r="L29" s="131">
        <v>8</v>
      </c>
    </row>
    <row r="30" spans="1:16" ht="15" customHeight="1" x14ac:dyDescent="0.3">
      <c r="D30" s="150"/>
      <c r="E30" s="150"/>
      <c r="F30" s="150"/>
      <c r="G30" s="150"/>
      <c r="L30" s="132"/>
      <c r="P30" s="131"/>
    </row>
    <row r="31" spans="1:16" ht="15" customHeight="1" x14ac:dyDescent="0.3">
      <c r="L31" s="130">
        <v>95979</v>
      </c>
    </row>
    <row r="32" spans="1:16" ht="15" customHeight="1" x14ac:dyDescent="0.3">
      <c r="A32" t="s">
        <v>9</v>
      </c>
      <c r="D32" s="159" t="str">
        <f>$L$59</f>
        <v xml:space="preserve">laurentdelhorme@horizal.com </v>
      </c>
      <c r="E32" s="148"/>
      <c r="F32" s="148"/>
      <c r="G32" s="148"/>
      <c r="L32" s="131">
        <v>9</v>
      </c>
    </row>
    <row r="33" spans="9:17" x14ac:dyDescent="0.3">
      <c r="L33" s="132"/>
    </row>
    <row r="34" spans="9:17" ht="15" customHeight="1" x14ac:dyDescent="0.3">
      <c r="L34" s="130">
        <v>95977</v>
      </c>
    </row>
    <row r="35" spans="9:17" ht="15" customHeight="1" x14ac:dyDescent="0.3">
      <c r="L35" s="131">
        <v>10</v>
      </c>
    </row>
    <row r="36" spans="9:17" x14ac:dyDescent="0.3">
      <c r="L36" s="132"/>
    </row>
    <row r="37" spans="9:17" ht="15" customHeight="1" x14ac:dyDescent="0.3">
      <c r="I37" s="123"/>
      <c r="L37" s="130" t="s">
        <v>52</v>
      </c>
    </row>
    <row r="38" spans="9:17" ht="12" customHeight="1" x14ac:dyDescent="0.3">
      <c r="L38" s="131" t="s">
        <v>237</v>
      </c>
    </row>
    <row r="39" spans="9:17" ht="10.5" customHeight="1" x14ac:dyDescent="0.3">
      <c r="L39" s="132"/>
    </row>
    <row r="40" spans="9:17" ht="12.75" customHeight="1" x14ac:dyDescent="0.3">
      <c r="L40" s="130" t="s">
        <v>53</v>
      </c>
    </row>
    <row r="41" spans="9:17" ht="36" customHeight="1" x14ac:dyDescent="0.3">
      <c r="L41" s="131" t="s">
        <v>238</v>
      </c>
    </row>
    <row r="42" spans="9:17" x14ac:dyDescent="0.3">
      <c r="K42" s="123"/>
      <c r="L42" s="132"/>
    </row>
    <row r="43" spans="9:17" ht="12" customHeight="1" x14ac:dyDescent="0.4">
      <c r="L43" s="130" t="s">
        <v>54</v>
      </c>
      <c r="Q43" s="133"/>
    </row>
    <row r="44" spans="9:17" ht="11.25" customHeight="1" x14ac:dyDescent="0.3">
      <c r="L44" s="131" t="s">
        <v>239</v>
      </c>
    </row>
    <row r="45" spans="9:17" x14ac:dyDescent="0.3">
      <c r="L45" s="132"/>
    </row>
    <row r="46" spans="9:17" ht="15" customHeight="1" x14ac:dyDescent="0.3">
      <c r="L46" s="130" t="s">
        <v>55</v>
      </c>
    </row>
    <row r="47" spans="9:17" ht="15" customHeight="1" x14ac:dyDescent="0.3">
      <c r="L47" s="131">
        <v>38300</v>
      </c>
    </row>
    <row r="48" spans="9:17" ht="9.75" customHeight="1" x14ac:dyDescent="0.3">
      <c r="L48" s="132"/>
    </row>
    <row r="49" spans="1:16" ht="15" customHeight="1" x14ac:dyDescent="0.3">
      <c r="L49" s="130" t="s">
        <v>56</v>
      </c>
    </row>
    <row r="50" spans="1:16" ht="15" customHeight="1" x14ac:dyDescent="0.3">
      <c r="L50" s="131" t="s">
        <v>240</v>
      </c>
      <c r="N50" s="83"/>
    </row>
    <row r="51" spans="1:16" ht="15.75" customHeight="1" x14ac:dyDescent="0.4">
      <c r="L51" s="132"/>
      <c r="P51" s="133"/>
    </row>
    <row r="52" spans="1:16" ht="15" customHeight="1" x14ac:dyDescent="0.3">
      <c r="L52" s="130" t="s">
        <v>57</v>
      </c>
    </row>
    <row r="53" spans="1:16" ht="15" customHeight="1" x14ac:dyDescent="0.3">
      <c r="L53" s="131" t="s">
        <v>241</v>
      </c>
    </row>
    <row r="54" spans="1:16" x14ac:dyDescent="0.3">
      <c r="L54" s="132"/>
    </row>
    <row r="55" spans="1:16" ht="15" customHeight="1" x14ac:dyDescent="0.3">
      <c r="L55" s="130" t="s">
        <v>58</v>
      </c>
    </row>
    <row r="56" spans="1:16" ht="15" customHeight="1" x14ac:dyDescent="0.3">
      <c r="L56" s="131">
        <v>679704508</v>
      </c>
    </row>
    <row r="57" spans="1:16" x14ac:dyDescent="0.3">
      <c r="L57" s="132"/>
    </row>
    <row r="58" spans="1:16" ht="15.6" x14ac:dyDescent="0.3">
      <c r="L58" s="130" t="s">
        <v>59</v>
      </c>
    </row>
    <row r="59" spans="1:16" ht="15" customHeight="1" x14ac:dyDescent="0.3">
      <c r="L59" s="147" t="s">
        <v>242</v>
      </c>
    </row>
    <row r="60" spans="1:16" x14ac:dyDescent="0.3">
      <c r="L60" s="124"/>
    </row>
    <row r="61" spans="1:16" x14ac:dyDescent="0.3">
      <c r="L61" s="125"/>
    </row>
    <row r="62" spans="1:16" x14ac:dyDescent="0.3">
      <c r="A62" t="s">
        <v>108</v>
      </c>
      <c r="C62" t="str">
        <f>IF(LEFT(L47,2)&lt;&gt;"75",VLOOKUP(LEFT(L$47,2),'Département Commerciaux'!A4:G100,2,TRUE),IF(IF(IF(LEFT($L$47,2)="75",RIGHT($L$47,2),"")="","",IF(LEFT($L$47,2)="75",RIGHT($L$47,2),""))="","",IF(IF(IF(LEFT($L$47,2)="75",RIGHT($L$47,2),"")="","",IF(LEFT($L$47,2)="75",RIGHT($L$47,2),""))="20","Dominique Girard","Lionel Delange")))</f>
        <v>Philippe ROUDIL</v>
      </c>
      <c r="L62" s="124"/>
    </row>
    <row r="63" spans="1:16" x14ac:dyDescent="0.3">
      <c r="A63" t="s">
        <v>110</v>
      </c>
      <c r="C63" t="str">
        <f>IF(LEFT($L$47,2)&lt;&gt;"75",VLOOKUP(LEFT(L$47,2),'Département Commerciaux'!A$4:$G$120,6,TRUE),VLOOKUP(L$47,'Département Commerciaux'!$A$4:$G$120,6,TRUE))</f>
        <v>06.11.86.06.24</v>
      </c>
      <c r="L63" s="124"/>
    </row>
    <row r="64" spans="1:16" x14ac:dyDescent="0.3">
      <c r="A64" t="s">
        <v>109</v>
      </c>
      <c r="C64" t="str">
        <f>IF(LEFT($L$47,2)&lt;&gt;"75",VLOOKUP(LEFT(L$47,2),'Département Commerciaux'!A$4:$G$120,7,TRUE),VLOOKUP(L$47,'Département Commerciaux'!$A$4:$G$120,7,TRUE))</f>
        <v>philipperoudil@horizal.com</v>
      </c>
      <c r="L64" s="124"/>
    </row>
    <row r="65" spans="1:17" x14ac:dyDescent="0.3">
      <c r="L65" s="124"/>
    </row>
    <row r="66" spans="1:17" x14ac:dyDescent="0.3">
      <c r="L66" s="124"/>
    </row>
    <row r="67" spans="1:17" x14ac:dyDescent="0.3">
      <c r="A67" s="134" t="s">
        <v>210</v>
      </c>
      <c r="C67" t="str">
        <f>$L$8&amp;" "&amp;$L$11</f>
        <v xml:space="preserve">9010 Mat </v>
      </c>
      <c r="L67" s="124"/>
    </row>
    <row r="68" spans="1:17" x14ac:dyDescent="0.3">
      <c r="A68" s="135"/>
      <c r="B68" s="135"/>
    </row>
    <row r="69" spans="1:17" x14ac:dyDescent="0.3">
      <c r="A69" s="135"/>
      <c r="B69" s="135"/>
    </row>
    <row r="70" spans="1:17" x14ac:dyDescent="0.3">
      <c r="A70" s="158" t="s">
        <v>11</v>
      </c>
      <c r="B70" s="158"/>
      <c r="C70" s="158"/>
    </row>
    <row r="71" spans="1:17" x14ac:dyDescent="0.3">
      <c r="A71" s="136" t="s">
        <v>0</v>
      </c>
      <c r="B71" s="137"/>
      <c r="C71" s="138" t="s">
        <v>1</v>
      </c>
      <c r="L71" s="139"/>
      <c r="M71" s="126"/>
      <c r="N71" s="139"/>
      <c r="O71" s="139"/>
      <c r="P71" s="139"/>
      <c r="Q71" s="139"/>
    </row>
    <row r="72" spans="1:17" ht="80.099999999999994" customHeight="1" x14ac:dyDescent="0.3">
      <c r="A72" s="140">
        <v>95970</v>
      </c>
      <c r="B72" s="137"/>
      <c r="C72" s="136">
        <f>$L$14</f>
        <v>1</v>
      </c>
      <c r="G72" s="130"/>
      <c r="H72" s="141">
        <f>C72*1468</f>
        <v>1468</v>
      </c>
      <c r="K72" s="130"/>
      <c r="L72" s="127"/>
      <c r="M72" s="126"/>
      <c r="N72" s="139"/>
      <c r="O72" s="139"/>
      <c r="P72" s="139"/>
      <c r="Q72" s="139"/>
    </row>
    <row r="73" spans="1:17" ht="80.099999999999994" customHeight="1" x14ac:dyDescent="0.3">
      <c r="A73" s="140">
        <v>95971</v>
      </c>
      <c r="B73" s="137"/>
      <c r="C73" s="142">
        <f>C72*3</f>
        <v>3</v>
      </c>
      <c r="G73" s="131"/>
      <c r="H73" s="141"/>
      <c r="K73" s="131"/>
      <c r="L73" s="139"/>
      <c r="M73" s="126"/>
      <c r="N73" s="139"/>
      <c r="O73" s="139"/>
      <c r="P73" s="139"/>
      <c r="Q73" s="139"/>
    </row>
    <row r="74" spans="1:17" ht="80.099999999999994" customHeight="1" x14ac:dyDescent="0.3">
      <c r="A74" s="140">
        <v>95972</v>
      </c>
      <c r="B74" s="137"/>
      <c r="C74" s="142">
        <f>IF((1473*C72)&lt;6500,1,ROUNDUP(H72/6500,0))</f>
        <v>1</v>
      </c>
      <c r="G74" s="132"/>
      <c r="H74" s="141">
        <f>C74*6500</f>
        <v>6500</v>
      </c>
      <c r="J74" s="143"/>
      <c r="K74" s="132"/>
      <c r="L74" s="139"/>
      <c r="M74" s="126"/>
      <c r="N74" s="139"/>
      <c r="O74" s="139"/>
      <c r="P74" s="139"/>
      <c r="Q74" s="139"/>
    </row>
    <row r="75" spans="1:17" ht="20.100000000000001" customHeight="1" x14ac:dyDescent="0.3">
      <c r="A75" s="158" t="s">
        <v>2</v>
      </c>
      <c r="B75" s="158"/>
      <c r="C75" s="158"/>
      <c r="G75" s="130"/>
      <c r="K75" s="130"/>
      <c r="L75" s="139"/>
      <c r="M75" s="126"/>
      <c r="N75" s="139"/>
      <c r="O75" s="139"/>
      <c r="P75" s="139"/>
      <c r="Q75" s="139"/>
    </row>
    <row r="76" spans="1:17" ht="82.5" customHeight="1" x14ac:dyDescent="0.3">
      <c r="A76" s="140">
        <v>95974</v>
      </c>
      <c r="B76" s="137"/>
      <c r="C76" s="136">
        <f>$L$17</f>
        <v>4</v>
      </c>
      <c r="G76" s="131"/>
      <c r="K76" s="131"/>
      <c r="L76" s="139"/>
      <c r="M76" s="126"/>
      <c r="N76" s="139"/>
      <c r="O76" s="139"/>
      <c r="P76" s="139"/>
      <c r="Q76" s="139"/>
    </row>
    <row r="77" spans="1:17" ht="79.5" customHeight="1" x14ac:dyDescent="0.3">
      <c r="A77" s="140">
        <v>95975</v>
      </c>
      <c r="B77" s="137"/>
      <c r="C77" s="136">
        <f>$L$20</f>
        <v>5</v>
      </c>
      <c r="G77" s="132"/>
      <c r="K77" s="132"/>
      <c r="L77" s="139"/>
      <c r="M77" s="126"/>
      <c r="N77" s="139"/>
      <c r="O77" s="139"/>
      <c r="P77" s="139"/>
      <c r="Q77" s="139"/>
    </row>
    <row r="78" spans="1:17" ht="84" customHeight="1" x14ac:dyDescent="0.3">
      <c r="A78" s="140">
        <v>95976</v>
      </c>
      <c r="B78" s="137"/>
      <c r="C78" s="136">
        <f>$L$23</f>
        <v>6</v>
      </c>
      <c r="G78" s="130"/>
      <c r="K78" s="130"/>
      <c r="L78" s="139"/>
      <c r="M78" s="126"/>
      <c r="N78" s="139"/>
      <c r="O78" s="139"/>
      <c r="P78" s="139"/>
      <c r="Q78" s="139"/>
    </row>
    <row r="79" spans="1:17" ht="31.5" customHeight="1" x14ac:dyDescent="0.3">
      <c r="A79" s="144"/>
      <c r="C79" s="145"/>
      <c r="G79" s="131"/>
      <c r="K79" s="132"/>
    </row>
    <row r="80" spans="1:17" ht="20.100000000000001" customHeight="1" x14ac:dyDescent="0.3">
      <c r="A80" s="158" t="s">
        <v>3</v>
      </c>
      <c r="B80" s="158"/>
      <c r="C80" s="158"/>
      <c r="G80" s="132"/>
      <c r="K80" s="132"/>
    </row>
    <row r="81" spans="1:11" ht="80.099999999999994" customHeight="1" x14ac:dyDescent="0.3">
      <c r="A81" s="140">
        <v>95973</v>
      </c>
      <c r="B81" s="137"/>
      <c r="C81" s="136">
        <f>$L$26</f>
        <v>7</v>
      </c>
      <c r="G81" s="130"/>
      <c r="K81" s="130"/>
    </row>
    <row r="82" spans="1:11" ht="20.100000000000001" customHeight="1" x14ac:dyDescent="0.3">
      <c r="A82" s="158" t="s">
        <v>4</v>
      </c>
      <c r="B82" s="158"/>
      <c r="C82" s="158"/>
      <c r="G82" s="131"/>
      <c r="K82" s="131"/>
    </row>
    <row r="83" spans="1:11" ht="80.099999999999994" customHeight="1" x14ac:dyDescent="0.3">
      <c r="A83" s="140">
        <v>95978</v>
      </c>
      <c r="B83" s="137"/>
      <c r="C83" s="136">
        <f>$L$29</f>
        <v>8</v>
      </c>
      <c r="G83" s="132"/>
      <c r="K83" s="132"/>
    </row>
    <row r="84" spans="1:11" ht="80.099999999999994" customHeight="1" x14ac:dyDescent="0.3">
      <c r="A84" s="140">
        <v>95979</v>
      </c>
      <c r="B84" s="137"/>
      <c r="C84" s="136">
        <f>$L$32</f>
        <v>9</v>
      </c>
      <c r="G84" s="130"/>
      <c r="K84" s="130"/>
    </row>
    <row r="85" spans="1:11" ht="80.099999999999994" customHeight="1" x14ac:dyDescent="0.3">
      <c r="A85" s="140">
        <v>95977</v>
      </c>
      <c r="B85" s="137"/>
      <c r="C85" s="136">
        <f>$L$35</f>
        <v>10</v>
      </c>
      <c r="G85" s="131"/>
      <c r="K85" s="131"/>
    </row>
    <row r="86" spans="1:11" ht="99.9" customHeight="1" x14ac:dyDescent="0.3">
      <c r="G86" s="132"/>
      <c r="K86" s="132"/>
    </row>
    <row r="87" spans="1:11" ht="99.9" customHeight="1" x14ac:dyDescent="0.3">
      <c r="G87" s="130"/>
      <c r="K87" s="130"/>
    </row>
    <row r="88" spans="1:11" ht="99.9" customHeight="1" x14ac:dyDescent="0.3">
      <c r="G88" s="131"/>
      <c r="K88" s="131"/>
    </row>
    <row r="89" spans="1:11" ht="99.9" customHeight="1" x14ac:dyDescent="0.3">
      <c r="G89" s="132"/>
      <c r="K89" s="132"/>
    </row>
    <row r="90" spans="1:11" ht="99.9" customHeight="1" x14ac:dyDescent="0.3">
      <c r="G90" s="130"/>
      <c r="K90" s="130"/>
    </row>
    <row r="91" spans="1:11" ht="99.9" customHeight="1" x14ac:dyDescent="0.3">
      <c r="G91" s="131"/>
      <c r="K91" s="131"/>
    </row>
    <row r="92" spans="1:11" ht="99.9" customHeight="1" x14ac:dyDescent="0.3">
      <c r="G92" s="132"/>
      <c r="K92" s="132"/>
    </row>
    <row r="93" spans="1:11" ht="99.9" customHeight="1" x14ac:dyDescent="0.3">
      <c r="G93" s="130"/>
      <c r="K93" s="130"/>
    </row>
    <row r="94" spans="1:11" ht="99.9" customHeight="1" x14ac:dyDescent="0.3">
      <c r="G94" s="131"/>
      <c r="K94" s="131"/>
    </row>
    <row r="95" spans="1:11" ht="99.9" customHeight="1" x14ac:dyDescent="0.3">
      <c r="G95" s="132"/>
      <c r="K95" s="132"/>
    </row>
    <row r="96" spans="1:11" ht="99.9" customHeight="1" x14ac:dyDescent="0.3">
      <c r="G96" s="130"/>
      <c r="K96" s="130"/>
    </row>
    <row r="97" spans="7:11" ht="99.9" customHeight="1" x14ac:dyDescent="0.3">
      <c r="G97" s="131"/>
      <c r="K97" s="131"/>
    </row>
    <row r="98" spans="7:11" ht="99.9" customHeight="1" x14ac:dyDescent="0.3">
      <c r="G98" s="132"/>
      <c r="K98" s="132"/>
    </row>
    <row r="99" spans="7:11" ht="99.9" customHeight="1" x14ac:dyDescent="0.3">
      <c r="G99" s="130"/>
      <c r="K99" s="130"/>
    </row>
    <row r="100" spans="7:11" ht="99.9" customHeight="1" x14ac:dyDescent="0.3">
      <c r="G100" s="131"/>
      <c r="K100" s="131"/>
    </row>
    <row r="101" spans="7:11" ht="99.9" customHeight="1" x14ac:dyDescent="0.3">
      <c r="G101" s="132"/>
      <c r="K101" s="132"/>
    </row>
    <row r="102" spans="7:11" ht="99.9" customHeight="1" x14ac:dyDescent="0.3">
      <c r="G102" s="130"/>
      <c r="K102" s="130"/>
    </row>
    <row r="103" spans="7:11" ht="99.9" customHeight="1" x14ac:dyDescent="0.3">
      <c r="G103" s="131"/>
      <c r="K103" s="131"/>
    </row>
    <row r="104" spans="7:11" ht="99.9" customHeight="1" x14ac:dyDescent="0.3">
      <c r="G104" s="132"/>
      <c r="K104" s="132"/>
    </row>
    <row r="105" spans="7:11" ht="99.9" customHeight="1" x14ac:dyDescent="0.3">
      <c r="G105" s="130"/>
      <c r="K105" s="130"/>
    </row>
    <row r="106" spans="7:11" ht="99.9" customHeight="1" x14ac:dyDescent="0.3">
      <c r="G106" s="131"/>
      <c r="K106" s="131"/>
    </row>
    <row r="107" spans="7:11" ht="99.9" customHeight="1" x14ac:dyDescent="0.3">
      <c r="G107" s="132"/>
      <c r="K107" s="132"/>
    </row>
    <row r="108" spans="7:11" ht="99.9" customHeight="1" x14ac:dyDescent="0.3">
      <c r="G108" s="130"/>
      <c r="K108" s="130"/>
    </row>
    <row r="109" spans="7:11" ht="99.9" customHeight="1" x14ac:dyDescent="0.3">
      <c r="G109" s="131"/>
      <c r="K109" s="131"/>
    </row>
    <row r="110" spans="7:11" ht="99.9" customHeight="1" x14ac:dyDescent="0.3">
      <c r="G110" s="132"/>
      <c r="K110" s="132"/>
    </row>
    <row r="111" spans="7:11" ht="99.9" customHeight="1" x14ac:dyDescent="0.3">
      <c r="G111" s="130"/>
      <c r="K111" s="130"/>
    </row>
    <row r="112" spans="7:11" ht="99.9" customHeight="1" x14ac:dyDescent="0.3">
      <c r="G112" s="131"/>
      <c r="K112" s="131"/>
    </row>
    <row r="113" spans="7:11" ht="99.9" customHeight="1" x14ac:dyDescent="0.3">
      <c r="G113" s="132"/>
      <c r="K113" s="132"/>
    </row>
    <row r="114" spans="7:11" ht="99.9" customHeight="1" x14ac:dyDescent="0.3">
      <c r="G114" s="130"/>
      <c r="K114" s="130"/>
    </row>
    <row r="115" spans="7:11" ht="99.9" customHeight="1" x14ac:dyDescent="0.3">
      <c r="G115" s="131"/>
      <c r="K115" s="131"/>
    </row>
    <row r="116" spans="7:11" ht="99.9" customHeight="1" x14ac:dyDescent="0.3">
      <c r="G116" s="132"/>
      <c r="K116" s="132"/>
    </row>
    <row r="117" spans="7:11" ht="99.9" customHeight="1" x14ac:dyDescent="0.3">
      <c r="G117" s="130"/>
      <c r="K117" s="130"/>
    </row>
    <row r="118" spans="7:11" ht="99.9" customHeight="1" x14ac:dyDescent="0.3">
      <c r="G118" s="124"/>
      <c r="K118" s="124"/>
    </row>
    <row r="119" spans="7:11" ht="99.9" customHeight="1" x14ac:dyDescent="0.3"/>
    <row r="120" spans="7:11" ht="99.9" customHeight="1" x14ac:dyDescent="0.3"/>
    <row r="121" spans="7:11" ht="99.9" customHeight="1" x14ac:dyDescent="0.3"/>
    <row r="122" spans="7:11" ht="99.9" customHeight="1" x14ac:dyDescent="0.3"/>
    <row r="123" spans="7:11" ht="99.9" customHeight="1" x14ac:dyDescent="0.3"/>
    <row r="124" spans="7:11" ht="99.9" customHeight="1" x14ac:dyDescent="0.3"/>
    <row r="125" spans="7:11" ht="99.9" customHeight="1" x14ac:dyDescent="0.3"/>
    <row r="126" spans="7:11" ht="99.9" customHeight="1" x14ac:dyDescent="0.3"/>
    <row r="127" spans="7:11" ht="99.9" customHeight="1" x14ac:dyDescent="0.3"/>
    <row r="128" spans="7:11" ht="99.9" customHeight="1" x14ac:dyDescent="0.3"/>
    <row r="129" customFormat="1" ht="99.9" customHeight="1" x14ac:dyDescent="0.3"/>
    <row r="130" customFormat="1" ht="99.9" customHeight="1" x14ac:dyDescent="0.3"/>
    <row r="131" customFormat="1" ht="99.9" customHeight="1" x14ac:dyDescent="0.3"/>
    <row r="132" customFormat="1" ht="99.9" customHeight="1" x14ac:dyDescent="0.3"/>
    <row r="133" customFormat="1" ht="99.9" customHeight="1" x14ac:dyDescent="0.3"/>
    <row r="134" customFormat="1" ht="99.9" customHeight="1" x14ac:dyDescent="0.3"/>
    <row r="135" customFormat="1" ht="99.9" customHeight="1" x14ac:dyDescent="0.3"/>
    <row r="136" customFormat="1" ht="99.9" customHeight="1" x14ac:dyDescent="0.3"/>
    <row r="137" customFormat="1" ht="99.9" customHeight="1" x14ac:dyDescent="0.3"/>
    <row r="138" customFormat="1" ht="99.9" customHeight="1" x14ac:dyDescent="0.3"/>
    <row r="139" customFormat="1" ht="99.9" customHeight="1" x14ac:dyDescent="0.3"/>
    <row r="140" customFormat="1" ht="99.9" customHeight="1" x14ac:dyDescent="0.3"/>
    <row r="141" customFormat="1" ht="99.9" customHeight="1" x14ac:dyDescent="0.3"/>
  </sheetData>
  <sheetProtection selectLockedCells="1"/>
  <mergeCells count="16">
    <mergeCell ref="A75:C75"/>
    <mergeCell ref="A80:C80"/>
    <mergeCell ref="A82:C82"/>
    <mergeCell ref="A70:C70"/>
    <mergeCell ref="D32:G32"/>
    <mergeCell ref="D24:G24"/>
    <mergeCell ref="D27:G27"/>
    <mergeCell ref="D30:G30"/>
    <mergeCell ref="D26:G26"/>
    <mergeCell ref="D18:G18"/>
    <mergeCell ref="D19:G19"/>
    <mergeCell ref="D22:G22"/>
    <mergeCell ref="D23:G23"/>
    <mergeCell ref="D28:G28"/>
    <mergeCell ref="D29:G29"/>
    <mergeCell ref="D25:G25"/>
  </mergeCells>
  <hyperlinks>
    <hyperlink ref="L59" r:id="rId1" display="mailto:laurentdelhorme@horizal.com" xr:uid="{74C6A60E-9460-4CCD-8CE6-DC94585F6EE4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il">
                <anchor moveWithCells="1" sizeWithCells="1">
                  <from>
                    <xdr:col>11</xdr:col>
                    <xdr:colOff>30480</xdr:colOff>
                    <xdr:row>0</xdr:row>
                    <xdr:rowOff>106680</xdr:rowOff>
                  </from>
                  <to>
                    <xdr:col>11</xdr:col>
                    <xdr:colOff>1775460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4988E-E136-47FD-9599-E2E1479620B8}">
  <sheetPr codeName="Feuil2"/>
  <dimension ref="A1:U171"/>
  <sheetViews>
    <sheetView showGridLines="0" topLeftCell="B1" zoomScale="160" zoomScaleNormal="160" workbookViewId="0">
      <selection activeCell="O69" sqref="O69"/>
    </sheetView>
  </sheetViews>
  <sheetFormatPr baseColWidth="10" defaultColWidth="10.6640625" defaultRowHeight="13.2" x14ac:dyDescent="0.25"/>
  <cols>
    <col min="1" max="2" width="10.6640625" style="3" customWidth="1"/>
    <col min="3" max="3" width="13.6640625" style="3" customWidth="1"/>
    <col min="4" max="4" width="9.109375" style="3" customWidth="1"/>
    <col min="5" max="6" width="10.6640625" style="3" customWidth="1"/>
    <col min="7" max="7" width="8.6640625" style="3" customWidth="1"/>
    <col min="8" max="8" width="17" style="16" customWidth="1"/>
    <col min="9" max="10" width="21.109375" style="6" hidden="1" customWidth="1"/>
    <col min="11" max="16384" width="10.6640625" style="6"/>
  </cols>
  <sheetData>
    <row r="1" spans="1:10" ht="14.1" customHeight="1" x14ac:dyDescent="0.25">
      <c r="A1" s="1"/>
      <c r="B1" s="2"/>
      <c r="E1" s="4" t="s">
        <v>12</v>
      </c>
      <c r="F1" s="165">
        <f ca="1">'Demande de prix'!$D$19</f>
        <v>44936</v>
      </c>
      <c r="G1" s="166"/>
      <c r="H1" s="167"/>
      <c r="I1" s="5">
        <f>H149</f>
        <v>887.00000000000011</v>
      </c>
      <c r="J1" s="5"/>
    </row>
    <row r="2" spans="1:10" ht="14.1" customHeight="1" x14ac:dyDescent="0.25">
      <c r="A2" s="7"/>
      <c r="B2" s="8"/>
      <c r="E2" s="4"/>
      <c r="F2" s="168"/>
      <c r="G2" s="166"/>
      <c r="H2" s="167"/>
    </row>
    <row r="3" spans="1:10" ht="14.1" customHeight="1" x14ac:dyDescent="0.25">
      <c r="A3" s="7"/>
      <c r="B3" s="7"/>
      <c r="E3" s="9" t="s">
        <v>13</v>
      </c>
      <c r="F3" s="183" t="str">
        <f>'Demande de prix'!$D$18</f>
        <v xml:space="preserve">toto </v>
      </c>
      <c r="G3" s="184"/>
      <c r="H3" s="185"/>
    </row>
    <row r="4" spans="1:10" ht="13.8" x14ac:dyDescent="0.25">
      <c r="A4" s="7"/>
      <c r="B4" s="7"/>
      <c r="E4" s="129"/>
      <c r="F4" s="186"/>
      <c r="G4" s="186"/>
      <c r="H4" s="187"/>
    </row>
    <row r="5" spans="1:10" x14ac:dyDescent="0.25">
      <c r="A5" s="7"/>
      <c r="B5" s="7"/>
      <c r="C5" s="7"/>
      <c r="D5" s="7"/>
      <c r="E5" s="169"/>
      <c r="F5" s="170"/>
      <c r="G5" s="170"/>
      <c r="H5" s="171"/>
    </row>
    <row r="6" spans="1:10" x14ac:dyDescent="0.25">
      <c r="A6" s="7"/>
      <c r="B6" s="7"/>
      <c r="C6" s="7"/>
      <c r="D6" s="7"/>
      <c r="E6" s="7"/>
      <c r="F6" s="7"/>
      <c r="H6" s="6"/>
    </row>
    <row r="7" spans="1:10" x14ac:dyDescent="0.25">
      <c r="B7" s="7"/>
      <c r="C7" s="7"/>
      <c r="D7" s="7"/>
      <c r="E7" s="10"/>
      <c r="H7" s="6"/>
    </row>
    <row r="8" spans="1:10" x14ac:dyDescent="0.25">
      <c r="A8" s="7" t="s">
        <v>50</v>
      </c>
      <c r="E8" s="8"/>
      <c r="F8" s="11" t="str">
        <f>'Demande de prix'!$D$22</f>
        <v xml:space="preserve">horizal </v>
      </c>
      <c r="H8" s="6"/>
    </row>
    <row r="9" spans="1:10" ht="14.4" x14ac:dyDescent="0.3">
      <c r="A9" s="55" t="s">
        <v>51</v>
      </c>
      <c r="E9" s="7"/>
      <c r="F9" s="7" t="str">
        <f>'Demande de prix'!$D$23</f>
        <v xml:space="preserve">174 route de lyon </v>
      </c>
      <c r="H9" s="6"/>
    </row>
    <row r="10" spans="1:10" x14ac:dyDescent="0.25">
      <c r="E10" s="7"/>
      <c r="F10" s="7">
        <f>'Demande de prix'!$D$24</f>
        <v>38300</v>
      </c>
      <c r="G10" s="3" t="str">
        <f>'Demande de prix'!$D$25</f>
        <v xml:space="preserve">bourgoin jallieu </v>
      </c>
      <c r="H10" s="6"/>
    </row>
    <row r="11" spans="1:10" x14ac:dyDescent="0.25">
      <c r="F11" s="56"/>
      <c r="G11" s="56"/>
      <c r="H11" s="6"/>
    </row>
    <row r="12" spans="1:10" x14ac:dyDescent="0.25">
      <c r="F12" s="56"/>
      <c r="G12" s="56"/>
      <c r="H12" s="6"/>
    </row>
    <row r="13" spans="1:10" x14ac:dyDescent="0.25">
      <c r="H13" s="6"/>
    </row>
    <row r="14" spans="1:10" x14ac:dyDescent="0.25">
      <c r="A14" s="3" t="s">
        <v>49</v>
      </c>
      <c r="C14" s="3" t="str">
        <f>'Demande de prix'!$D$26</f>
        <v xml:space="preserve">laurent </v>
      </c>
      <c r="H14" s="6"/>
      <c r="I14" s="12"/>
      <c r="J14" s="12"/>
    </row>
    <row r="15" spans="1:10" x14ac:dyDescent="0.25">
      <c r="A15" s="3" t="s">
        <v>62</v>
      </c>
      <c r="C15" s="57">
        <f>'Demande de prix'!$D$29</f>
        <v>679704508</v>
      </c>
      <c r="H15" s="6"/>
      <c r="I15" s="12" t="s">
        <v>14</v>
      </c>
      <c r="J15" s="12" t="s">
        <v>15</v>
      </c>
    </row>
    <row r="16" spans="1:10" x14ac:dyDescent="0.25">
      <c r="C16" s="57"/>
      <c r="H16" s="6"/>
      <c r="I16" s="12"/>
      <c r="J16" s="12"/>
    </row>
    <row r="17" spans="2:10" x14ac:dyDescent="0.25">
      <c r="C17" s="57"/>
      <c r="H17" s="6"/>
      <c r="I17" s="12"/>
      <c r="J17" s="12"/>
    </row>
    <row r="18" spans="2:10" ht="13.8" x14ac:dyDescent="0.25">
      <c r="B18" s="13"/>
      <c r="H18" s="6"/>
      <c r="I18" s="14">
        <v>1521.5971618783999</v>
      </c>
      <c r="J18" s="6" t="e">
        <f>LOOKUP(I18,#REF!,#REF!)</f>
        <v>#REF!</v>
      </c>
    </row>
    <row r="19" spans="2:10" ht="13.8" x14ac:dyDescent="0.25">
      <c r="B19" s="15" t="s">
        <v>16</v>
      </c>
      <c r="H19" s="6"/>
    </row>
    <row r="20" spans="2:10" x14ac:dyDescent="0.25">
      <c r="H20" s="6"/>
    </row>
    <row r="21" spans="2:10" x14ac:dyDescent="0.25">
      <c r="H21" s="6"/>
    </row>
    <row r="22" spans="2:10" x14ac:dyDescent="0.25">
      <c r="H22" s="6"/>
    </row>
    <row r="23" spans="2:10" x14ac:dyDescent="0.25">
      <c r="H23" s="6"/>
    </row>
    <row r="24" spans="2:10" x14ac:dyDescent="0.25">
      <c r="H24" s="6"/>
    </row>
    <row r="25" spans="2:10" x14ac:dyDescent="0.25">
      <c r="H25" s="6"/>
    </row>
    <row r="26" spans="2:10" x14ac:dyDescent="0.25">
      <c r="H26" s="6"/>
    </row>
    <row r="27" spans="2:10" x14ac:dyDescent="0.25">
      <c r="H27" s="6"/>
    </row>
    <row r="28" spans="2:10" x14ac:dyDescent="0.25">
      <c r="H28" s="6"/>
    </row>
    <row r="29" spans="2:10" x14ac:dyDescent="0.25">
      <c r="H29" s="6"/>
    </row>
    <row r="30" spans="2:10" x14ac:dyDescent="0.25">
      <c r="H30" s="6"/>
    </row>
    <row r="31" spans="2:10" x14ac:dyDescent="0.25">
      <c r="H31" s="6"/>
    </row>
    <row r="32" spans="2:10" x14ac:dyDescent="0.25">
      <c r="H32" s="6"/>
    </row>
    <row r="33" spans="5:13" x14ac:dyDescent="0.25">
      <c r="H33" s="6"/>
    </row>
    <row r="34" spans="5:13" x14ac:dyDescent="0.25">
      <c r="H34" s="6"/>
    </row>
    <row r="35" spans="5:13" x14ac:dyDescent="0.25">
      <c r="H35" s="6"/>
    </row>
    <row r="36" spans="5:13" x14ac:dyDescent="0.25">
      <c r="H36" s="6"/>
    </row>
    <row r="37" spans="5:13" x14ac:dyDescent="0.25">
      <c r="H37" s="6"/>
      <c r="M37" s="12"/>
    </row>
    <row r="38" spans="5:13" ht="13.8" x14ac:dyDescent="0.25">
      <c r="E38" s="15"/>
      <c r="F38" s="15"/>
      <c r="H38" s="6"/>
    </row>
    <row r="39" spans="5:13" x14ac:dyDescent="0.25">
      <c r="H39" s="6"/>
    </row>
    <row r="40" spans="5:13" x14ac:dyDescent="0.25">
      <c r="H40" s="6"/>
    </row>
    <row r="41" spans="5:13" x14ac:dyDescent="0.25">
      <c r="H41" s="6"/>
    </row>
    <row r="42" spans="5:13" x14ac:dyDescent="0.25">
      <c r="H42" s="6"/>
    </row>
    <row r="43" spans="5:13" x14ac:dyDescent="0.25">
      <c r="H43" s="6"/>
    </row>
    <row r="44" spans="5:13" x14ac:dyDescent="0.25">
      <c r="H44" s="6"/>
    </row>
    <row r="45" spans="5:13" x14ac:dyDescent="0.25">
      <c r="H45" s="6"/>
    </row>
    <row r="46" spans="5:13" x14ac:dyDescent="0.25">
      <c r="H46" s="6"/>
    </row>
    <row r="47" spans="5:13" x14ac:dyDescent="0.25">
      <c r="H47" s="6"/>
    </row>
    <row r="48" spans="5:13" x14ac:dyDescent="0.25">
      <c r="H48" s="6"/>
    </row>
    <row r="49" spans="1:8" x14ac:dyDescent="0.25">
      <c r="F49" s="3" t="s">
        <v>61</v>
      </c>
      <c r="H49" s="6"/>
    </row>
    <row r="50" spans="1:8" x14ac:dyDescent="0.25">
      <c r="H50" s="6"/>
    </row>
    <row r="51" spans="1:8" x14ac:dyDescent="0.25">
      <c r="H51" s="6"/>
    </row>
    <row r="52" spans="1:8" x14ac:dyDescent="0.25">
      <c r="H52" s="3"/>
    </row>
    <row r="55" spans="1:8" x14ac:dyDescent="0.25">
      <c r="H55" s="6"/>
    </row>
    <row r="56" spans="1:8" ht="44.25" customHeight="1" x14ac:dyDescent="0.25">
      <c r="H56" s="6"/>
    </row>
    <row r="57" spans="1:8" x14ac:dyDescent="0.25">
      <c r="H57" s="6"/>
    </row>
    <row r="58" spans="1:8" x14ac:dyDescent="0.25">
      <c r="H58" s="6"/>
    </row>
    <row r="59" spans="1:8" x14ac:dyDescent="0.25">
      <c r="H59" s="6"/>
    </row>
    <row r="60" spans="1:8" x14ac:dyDescent="0.25">
      <c r="H60" s="6"/>
    </row>
    <row r="61" spans="1:8" x14ac:dyDescent="0.25">
      <c r="H61" s="6"/>
    </row>
    <row r="62" spans="1:8" x14ac:dyDescent="0.25">
      <c r="H62" s="6"/>
    </row>
    <row r="63" spans="1:8" x14ac:dyDescent="0.25">
      <c r="A63" s="162" t="s">
        <v>17</v>
      </c>
      <c r="B63" s="163"/>
      <c r="C63" s="163"/>
      <c r="D63" s="163"/>
      <c r="E63" s="163"/>
      <c r="F63" s="163"/>
      <c r="G63" s="164"/>
      <c r="H63" s="18" t="s">
        <v>18</v>
      </c>
    </row>
    <row r="64" spans="1:8" ht="8.1" customHeight="1" x14ac:dyDescent="0.25">
      <c r="A64" s="19"/>
      <c r="B64" s="20"/>
      <c r="C64" s="20"/>
      <c r="D64" s="20"/>
      <c r="E64" s="20"/>
      <c r="F64" s="20"/>
      <c r="G64" s="20"/>
      <c r="H64" s="21"/>
    </row>
    <row r="65" spans="1:16" ht="14.1" customHeight="1" x14ac:dyDescent="0.3">
      <c r="A65" s="22"/>
      <c r="C65" s="3" t="s">
        <v>204</v>
      </c>
      <c r="H65" s="24"/>
    </row>
    <row r="66" spans="1:16" ht="14.1" customHeight="1" x14ac:dyDescent="0.3">
      <c r="A66" s="22"/>
      <c r="C66" s="93" t="s">
        <v>211</v>
      </c>
      <c r="D66" s="23" t="str">
        <f>'Demande de prix'!$C$67</f>
        <v xml:space="preserve">9010 Mat </v>
      </c>
      <c r="H66" s="24"/>
      <c r="M66"/>
    </row>
    <row r="67" spans="1:16" ht="14.1" customHeight="1" x14ac:dyDescent="0.25">
      <c r="A67" s="22"/>
      <c r="C67" s="93" t="s">
        <v>234</v>
      </c>
      <c r="H67" s="24"/>
    </row>
    <row r="68" spans="1:16" x14ac:dyDescent="0.25">
      <c r="A68" s="22"/>
      <c r="C68" s="3" t="s">
        <v>19</v>
      </c>
      <c r="H68" s="24"/>
    </row>
    <row r="69" spans="1:16" ht="14.4" x14ac:dyDescent="0.3">
      <c r="A69" s="22"/>
      <c r="C69" s="3" t="s">
        <v>20</v>
      </c>
      <c r="H69" s="24"/>
    </row>
    <row r="70" spans="1:16" ht="14.1" customHeight="1" x14ac:dyDescent="0.25">
      <c r="A70" s="22"/>
      <c r="C70" s="3" t="s">
        <v>21</v>
      </c>
      <c r="H70" s="24"/>
    </row>
    <row r="71" spans="1:16" s="12" customFormat="1" ht="15" customHeight="1" x14ac:dyDescent="0.25">
      <c r="A71" s="22"/>
      <c r="B71" s="3"/>
      <c r="C71" s="146" t="s">
        <v>233</v>
      </c>
      <c r="D71" s="3"/>
      <c r="E71" s="3"/>
      <c r="F71" s="3"/>
      <c r="G71" s="3"/>
      <c r="H71" s="24"/>
    </row>
    <row r="72" spans="1:16" ht="15.6" x14ac:dyDescent="0.3">
      <c r="A72" s="22"/>
      <c r="C72" s="3" t="s">
        <v>42</v>
      </c>
      <c r="D72" s="94"/>
      <c r="E72" s="95">
        <f>'Demande de prix'!$C$72</f>
        <v>1</v>
      </c>
      <c r="F72" s="176"/>
      <c r="G72" s="177"/>
      <c r="H72" s="24"/>
    </row>
    <row r="73" spans="1:16" ht="8.1" customHeight="1" x14ac:dyDescent="0.25">
      <c r="A73" s="22"/>
      <c r="E73" s="96"/>
      <c r="H73" s="24"/>
    </row>
    <row r="74" spans="1:16" x14ac:dyDescent="0.25">
      <c r="A74" s="97" t="s">
        <v>73</v>
      </c>
      <c r="H74" s="24"/>
    </row>
    <row r="75" spans="1:16" ht="13.8" thickBot="1" x14ac:dyDescent="0.3">
      <c r="A75" s="22"/>
      <c r="C75" s="3" t="s">
        <v>22</v>
      </c>
      <c r="H75" s="24"/>
    </row>
    <row r="76" spans="1:16" x14ac:dyDescent="0.25">
      <c r="A76" s="29" t="s">
        <v>23</v>
      </c>
      <c r="B76" s="30"/>
      <c r="C76" s="31" t="s">
        <v>24</v>
      </c>
      <c r="D76" s="32"/>
      <c r="E76" s="32"/>
      <c r="F76" s="32"/>
      <c r="G76" s="32"/>
      <c r="H76" s="98">
        <f>E72*O76</f>
        <v>141</v>
      </c>
      <c r="N76" s="6" t="s">
        <v>44</v>
      </c>
      <c r="O76" s="6">
        <v>141</v>
      </c>
      <c r="P76" s="99" t="s">
        <v>212</v>
      </c>
    </row>
    <row r="77" spans="1:16" ht="8.1" customHeight="1" x14ac:dyDescent="0.25">
      <c r="A77" s="19"/>
      <c r="B77" s="20"/>
      <c r="C77" s="20"/>
      <c r="D77" s="20"/>
      <c r="E77" s="20"/>
      <c r="F77" s="20"/>
      <c r="G77" s="20"/>
      <c r="H77" s="21"/>
    </row>
    <row r="78" spans="1:16" x14ac:dyDescent="0.25">
      <c r="A78" s="22"/>
      <c r="C78" s="3" t="s">
        <v>63</v>
      </c>
      <c r="H78" s="24"/>
    </row>
    <row r="79" spans="1:16" x14ac:dyDescent="0.25">
      <c r="A79" s="22"/>
      <c r="C79" s="101" t="s">
        <v>221</v>
      </c>
      <c r="D79" s="23"/>
      <c r="H79" s="24"/>
    </row>
    <row r="80" spans="1:16" x14ac:dyDescent="0.25">
      <c r="A80" s="22"/>
      <c r="C80" s="3" t="s">
        <v>43</v>
      </c>
      <c r="D80" s="3">
        <f>'Demande de prix'!$C$73</f>
        <v>3</v>
      </c>
      <c r="H80" s="24"/>
    </row>
    <row r="81" spans="1:16" ht="8.1" customHeight="1" thickBot="1" x14ac:dyDescent="0.3">
      <c r="A81" s="22"/>
      <c r="H81" s="24"/>
    </row>
    <row r="82" spans="1:16" x14ac:dyDescent="0.25">
      <c r="A82" s="22"/>
      <c r="C82" s="26" t="s">
        <v>24</v>
      </c>
      <c r="D82" s="27"/>
      <c r="E82" s="27"/>
      <c r="F82" s="27"/>
      <c r="G82" s="27"/>
      <c r="H82" s="28">
        <f>D80*O82</f>
        <v>12.899999999999999</v>
      </c>
      <c r="N82" s="6" t="s">
        <v>44</v>
      </c>
      <c r="O82" s="6">
        <v>4.3</v>
      </c>
      <c r="P82" s="99" t="s">
        <v>212</v>
      </c>
    </row>
    <row r="83" spans="1:16" ht="8.1" customHeight="1" x14ac:dyDescent="0.25">
      <c r="A83" s="19"/>
      <c r="B83" s="20"/>
      <c r="C83" s="20"/>
      <c r="D83" s="20"/>
      <c r="E83" s="20"/>
      <c r="F83" s="20"/>
      <c r="G83" s="20"/>
      <c r="H83" s="21"/>
    </row>
    <row r="84" spans="1:16" x14ac:dyDescent="0.25">
      <c r="A84" s="22"/>
      <c r="C84" s="3" t="s">
        <v>215</v>
      </c>
      <c r="F84" s="100" t="str">
        <f>'Demande de prix'!$C$67</f>
        <v xml:space="preserve">9010 Mat </v>
      </c>
      <c r="G84" s="3" t="s">
        <v>216</v>
      </c>
      <c r="H84" s="24"/>
    </row>
    <row r="85" spans="1:16" x14ac:dyDescent="0.25">
      <c r="A85" s="22"/>
      <c r="C85" s="3" t="s">
        <v>64</v>
      </c>
      <c r="D85" s="3">
        <f>'Demande de prix'!$C$74</f>
        <v>1</v>
      </c>
      <c r="H85" s="24"/>
    </row>
    <row r="86" spans="1:16" ht="8.1" customHeight="1" thickBot="1" x14ac:dyDescent="0.3">
      <c r="A86" s="22"/>
      <c r="H86" s="24"/>
    </row>
    <row r="87" spans="1:16" x14ac:dyDescent="0.25">
      <c r="A87" s="22"/>
      <c r="C87" s="26" t="s">
        <v>24</v>
      </c>
      <c r="D87" s="27"/>
      <c r="E87" s="27"/>
      <c r="F87" s="27"/>
      <c r="G87" s="27"/>
      <c r="H87" s="28">
        <f>O87*D85</f>
        <v>49</v>
      </c>
      <c r="N87" s="6" t="s">
        <v>44</v>
      </c>
      <c r="O87" s="6">
        <v>49</v>
      </c>
      <c r="P87" s="99" t="s">
        <v>212</v>
      </c>
    </row>
    <row r="88" spans="1:16" ht="8.1" customHeight="1" x14ac:dyDescent="0.25">
      <c r="A88" s="19"/>
      <c r="B88" s="20"/>
      <c r="C88" s="20"/>
      <c r="D88" s="20"/>
      <c r="E88" s="20"/>
      <c r="F88" s="20"/>
      <c r="G88" s="20"/>
      <c r="H88" s="21"/>
    </row>
    <row r="89" spans="1:16" x14ac:dyDescent="0.25">
      <c r="A89" s="22"/>
      <c r="C89" s="3" t="s">
        <v>65</v>
      </c>
      <c r="F89" s="102" t="s">
        <v>217</v>
      </c>
      <c r="G89" s="23" t="s">
        <v>218</v>
      </c>
      <c r="H89" s="24"/>
    </row>
    <row r="90" spans="1:16" x14ac:dyDescent="0.25">
      <c r="A90" s="22"/>
      <c r="C90" s="91" t="s">
        <v>205</v>
      </c>
      <c r="H90" s="24"/>
    </row>
    <row r="91" spans="1:16" x14ac:dyDescent="0.25">
      <c r="A91" s="22"/>
      <c r="C91" s="3" t="s">
        <v>43</v>
      </c>
      <c r="D91" s="3">
        <f>'Demande de prix'!$C$76</f>
        <v>4</v>
      </c>
      <c r="H91" s="24"/>
    </row>
    <row r="92" spans="1:16" ht="8.1" customHeight="1" thickBot="1" x14ac:dyDescent="0.3">
      <c r="A92" s="22"/>
      <c r="H92" s="24"/>
    </row>
    <row r="93" spans="1:16" x14ac:dyDescent="0.25">
      <c r="A93" s="22"/>
      <c r="C93" s="26" t="s">
        <v>24</v>
      </c>
      <c r="D93" s="27"/>
      <c r="E93" s="27"/>
      <c r="F93" s="27"/>
      <c r="G93" s="27"/>
      <c r="H93" s="28">
        <f>D91*O93</f>
        <v>16.8</v>
      </c>
      <c r="N93" s="6" t="s">
        <v>44</v>
      </c>
      <c r="O93" s="6">
        <v>4.2</v>
      </c>
      <c r="P93" s="99" t="s">
        <v>212</v>
      </c>
    </row>
    <row r="94" spans="1:16" ht="8.1" customHeight="1" x14ac:dyDescent="0.25">
      <c r="A94" s="19"/>
      <c r="B94" s="20"/>
      <c r="C94" s="20"/>
      <c r="D94" s="20"/>
      <c r="E94" s="20"/>
      <c r="F94" s="20"/>
      <c r="G94" s="20"/>
      <c r="H94" s="21"/>
    </row>
    <row r="95" spans="1:16" x14ac:dyDescent="0.25">
      <c r="A95" s="22"/>
      <c r="C95" s="3" t="s">
        <v>66</v>
      </c>
      <c r="E95" s="102"/>
      <c r="F95" s="102" t="s">
        <v>211</v>
      </c>
      <c r="G95" s="23" t="str">
        <f>'Demande de prix'!$C$67</f>
        <v xml:space="preserve">9010 Mat </v>
      </c>
      <c r="H95" s="24"/>
    </row>
    <row r="96" spans="1:16" x14ac:dyDescent="0.25">
      <c r="A96" s="22"/>
      <c r="C96" s="91" t="s">
        <v>206</v>
      </c>
      <c r="H96" s="24"/>
    </row>
    <row r="97" spans="1:16" x14ac:dyDescent="0.25">
      <c r="A97" s="22"/>
      <c r="C97" s="3" t="s">
        <v>43</v>
      </c>
      <c r="D97" s="3">
        <f>'Demande de prix'!$C$77</f>
        <v>5</v>
      </c>
      <c r="H97" s="24"/>
    </row>
    <row r="98" spans="1:16" ht="8.1" customHeight="1" thickBot="1" x14ac:dyDescent="0.3">
      <c r="A98" s="22"/>
      <c r="H98" s="24"/>
    </row>
    <row r="99" spans="1:16" x14ac:dyDescent="0.25">
      <c r="A99" s="22"/>
      <c r="C99" s="26" t="s">
        <v>24</v>
      </c>
      <c r="D99" s="27"/>
      <c r="E99" s="27"/>
      <c r="F99" s="27"/>
      <c r="G99" s="27"/>
      <c r="H99" s="28">
        <f>D97*O99</f>
        <v>67.5</v>
      </c>
      <c r="N99" s="6" t="s">
        <v>44</v>
      </c>
      <c r="O99" s="6">
        <v>13.5</v>
      </c>
      <c r="P99" s="99" t="s">
        <v>212</v>
      </c>
    </row>
    <row r="100" spans="1:16" ht="8.1" customHeight="1" x14ac:dyDescent="0.25">
      <c r="A100" s="19"/>
      <c r="B100" s="20"/>
      <c r="C100" s="20"/>
      <c r="D100" s="20"/>
      <c r="E100" s="20"/>
      <c r="F100" s="20"/>
      <c r="G100" s="20"/>
      <c r="H100" s="21"/>
    </row>
    <row r="101" spans="1:16" x14ac:dyDescent="0.25">
      <c r="A101" s="22"/>
      <c r="C101" s="3" t="s">
        <v>67</v>
      </c>
      <c r="F101" s="102" t="s">
        <v>211</v>
      </c>
      <c r="G101" s="23" t="str">
        <f>'Demande de prix'!$C$67</f>
        <v xml:space="preserve">9010 Mat </v>
      </c>
      <c r="H101" s="24"/>
    </row>
    <row r="102" spans="1:16" x14ac:dyDescent="0.25">
      <c r="A102" s="22"/>
      <c r="C102" s="92" t="s">
        <v>207</v>
      </c>
      <c r="H102" s="24"/>
    </row>
    <row r="103" spans="1:16" x14ac:dyDescent="0.25">
      <c r="A103" s="22"/>
      <c r="C103" s="3" t="s">
        <v>43</v>
      </c>
      <c r="D103" s="3">
        <f>'Demande de prix'!$C$78</f>
        <v>6</v>
      </c>
      <c r="H103" s="24"/>
      <c r="K103" s="102"/>
    </row>
    <row r="104" spans="1:16" ht="8.1" customHeight="1" thickBot="1" x14ac:dyDescent="0.3">
      <c r="A104" s="22"/>
      <c r="H104" s="24"/>
    </row>
    <row r="105" spans="1:16" x14ac:dyDescent="0.25">
      <c r="A105" s="22"/>
      <c r="C105" s="26" t="s">
        <v>24</v>
      </c>
      <c r="D105" s="27"/>
      <c r="E105" s="27"/>
      <c r="F105" s="27"/>
      <c r="G105" s="27"/>
      <c r="H105" s="28">
        <f>D103*O105</f>
        <v>192</v>
      </c>
      <c r="N105" s="6" t="s">
        <v>44</v>
      </c>
      <c r="O105" s="6">
        <v>32</v>
      </c>
      <c r="P105" s="99" t="s">
        <v>212</v>
      </c>
    </row>
    <row r="106" spans="1:16" ht="8.1" customHeight="1" x14ac:dyDescent="0.25">
      <c r="A106" s="19"/>
      <c r="B106" s="20"/>
      <c r="C106" s="20"/>
      <c r="D106" s="20"/>
      <c r="E106" s="20"/>
      <c r="F106" s="20"/>
      <c r="G106" s="20"/>
      <c r="H106" s="21"/>
    </row>
    <row r="107" spans="1:16" x14ac:dyDescent="0.25">
      <c r="A107" s="22"/>
      <c r="C107" s="3" t="s">
        <v>68</v>
      </c>
      <c r="F107" s="102" t="s">
        <v>211</v>
      </c>
      <c r="G107" s="23" t="str">
        <f>'Demande de prix'!$C$67</f>
        <v xml:space="preserve">9010 Mat </v>
      </c>
      <c r="H107" s="24"/>
    </row>
    <row r="108" spans="1:16" x14ac:dyDescent="0.25">
      <c r="A108" s="22"/>
      <c r="C108" s="91" t="s">
        <v>208</v>
      </c>
      <c r="H108" s="24"/>
    </row>
    <row r="109" spans="1:16" x14ac:dyDescent="0.25">
      <c r="A109" s="22"/>
      <c r="C109" s="3" t="s">
        <v>43</v>
      </c>
      <c r="D109" s="3">
        <f>'Demande de prix'!$C$81</f>
        <v>7</v>
      </c>
      <c r="H109" s="24"/>
    </row>
    <row r="110" spans="1:16" ht="8.1" customHeight="1" thickBot="1" x14ac:dyDescent="0.3">
      <c r="A110" s="22"/>
      <c r="H110" s="24"/>
    </row>
    <row r="111" spans="1:16" x14ac:dyDescent="0.25">
      <c r="A111" s="29"/>
      <c r="B111" s="30"/>
      <c r="C111" s="31" t="s">
        <v>24</v>
      </c>
      <c r="D111" s="32"/>
      <c r="E111" s="32"/>
      <c r="F111" s="32"/>
      <c r="G111" s="32"/>
      <c r="H111" s="33">
        <f>D109*O111</f>
        <v>45.5</v>
      </c>
      <c r="N111" s="6" t="s">
        <v>44</v>
      </c>
      <c r="O111" s="6">
        <v>6.5</v>
      </c>
      <c r="P111" s="99" t="s">
        <v>212</v>
      </c>
    </row>
    <row r="112" spans="1:16" x14ac:dyDescent="0.25">
      <c r="A112" s="162" t="s">
        <v>17</v>
      </c>
      <c r="B112" s="163"/>
      <c r="C112" s="163"/>
      <c r="D112" s="163"/>
      <c r="E112" s="163"/>
      <c r="F112" s="163"/>
      <c r="G112" s="164"/>
      <c r="H112" s="18" t="s">
        <v>18</v>
      </c>
    </row>
    <row r="113" spans="1:16" ht="8.1" customHeight="1" x14ac:dyDescent="0.25">
      <c r="A113" s="19"/>
      <c r="B113" s="20"/>
      <c r="C113" s="20"/>
      <c r="D113" s="20"/>
      <c r="E113" s="20"/>
      <c r="F113" s="20"/>
      <c r="G113" s="20"/>
      <c r="H113" s="21"/>
    </row>
    <row r="114" spans="1:16" x14ac:dyDescent="0.25">
      <c r="A114" s="22"/>
      <c r="C114" s="34" t="s">
        <v>69</v>
      </c>
      <c r="F114" s="102" t="s">
        <v>219</v>
      </c>
      <c r="G114" s="23" t="s">
        <v>220</v>
      </c>
      <c r="H114" s="24"/>
      <c r="L114" s="101"/>
    </row>
    <row r="115" spans="1:16" x14ac:dyDescent="0.25">
      <c r="A115" s="22"/>
      <c r="C115" s="3" t="s">
        <v>43</v>
      </c>
      <c r="D115" s="3">
        <f>'Demande de prix'!$C$83</f>
        <v>8</v>
      </c>
      <c r="H115" s="24"/>
    </row>
    <row r="116" spans="1:16" ht="8.1" customHeight="1" thickBot="1" x14ac:dyDescent="0.3">
      <c r="A116" s="22"/>
      <c r="H116" s="24"/>
    </row>
    <row r="117" spans="1:16" x14ac:dyDescent="0.25">
      <c r="A117" s="22"/>
      <c r="C117" s="26" t="s">
        <v>24</v>
      </c>
      <c r="D117" s="27"/>
      <c r="E117" s="27"/>
      <c r="F117" s="27"/>
      <c r="G117" s="27"/>
      <c r="H117" s="28">
        <f>D115*O117</f>
        <v>21.6</v>
      </c>
      <c r="N117" s="6" t="s">
        <v>44</v>
      </c>
      <c r="O117" s="6">
        <v>2.7</v>
      </c>
      <c r="P117" s="99" t="s">
        <v>212</v>
      </c>
    </row>
    <row r="118" spans="1:16" ht="8.1" customHeight="1" x14ac:dyDescent="0.25">
      <c r="A118" s="19"/>
      <c r="B118" s="20"/>
      <c r="C118" s="20"/>
      <c r="D118" s="20"/>
      <c r="E118" s="20"/>
      <c r="F118" s="20"/>
      <c r="G118" s="20"/>
      <c r="H118" s="21"/>
    </row>
    <row r="119" spans="1:16" x14ac:dyDescent="0.25">
      <c r="A119" s="22"/>
      <c r="C119" s="34" t="s">
        <v>70</v>
      </c>
      <c r="F119" s="102" t="s">
        <v>219</v>
      </c>
      <c r="G119" s="23" t="s">
        <v>220</v>
      </c>
      <c r="H119" s="24"/>
    </row>
    <row r="120" spans="1:16" x14ac:dyDescent="0.25">
      <c r="A120" s="22"/>
      <c r="C120" s="3" t="s">
        <v>43</v>
      </c>
      <c r="D120" s="3">
        <f>'Demande de prix'!$C$84</f>
        <v>9</v>
      </c>
      <c r="H120" s="24"/>
    </row>
    <row r="121" spans="1:16" ht="8.1" customHeight="1" thickBot="1" x14ac:dyDescent="0.3">
      <c r="A121" s="22"/>
      <c r="H121" s="24"/>
    </row>
    <row r="122" spans="1:16" x14ac:dyDescent="0.25">
      <c r="A122" s="22"/>
      <c r="C122" s="26" t="s">
        <v>24</v>
      </c>
      <c r="D122" s="27"/>
      <c r="E122" s="27"/>
      <c r="F122" s="27"/>
      <c r="G122" s="27"/>
      <c r="H122" s="28">
        <f>D120*O122</f>
        <v>20.7</v>
      </c>
      <c r="N122" s="6" t="s">
        <v>44</v>
      </c>
      <c r="O122" s="6">
        <v>2.2999999999999998</v>
      </c>
      <c r="P122" s="99" t="s">
        <v>212</v>
      </c>
    </row>
    <row r="123" spans="1:16" ht="8.1" customHeight="1" x14ac:dyDescent="0.25">
      <c r="A123" s="19"/>
      <c r="B123" s="20"/>
      <c r="C123" s="20"/>
      <c r="D123" s="20"/>
      <c r="E123" s="20"/>
      <c r="F123" s="20"/>
      <c r="G123" s="20"/>
      <c r="H123" s="21"/>
    </row>
    <row r="124" spans="1:16" x14ac:dyDescent="0.25">
      <c r="A124" s="22"/>
      <c r="C124" s="34" t="s">
        <v>71</v>
      </c>
      <c r="F124" s="102" t="s">
        <v>219</v>
      </c>
      <c r="G124" s="23" t="s">
        <v>220</v>
      </c>
      <c r="H124" s="24"/>
    </row>
    <row r="125" spans="1:16" x14ac:dyDescent="0.25">
      <c r="A125" s="22"/>
      <c r="C125" s="3" t="s">
        <v>43</v>
      </c>
      <c r="D125" s="3">
        <f>'Demande de prix'!$C$85</f>
        <v>10</v>
      </c>
      <c r="H125" s="24"/>
    </row>
    <row r="126" spans="1:16" ht="8.1" customHeight="1" thickBot="1" x14ac:dyDescent="0.3">
      <c r="A126" s="22"/>
      <c r="H126" s="24"/>
    </row>
    <row r="127" spans="1:16" x14ac:dyDescent="0.25">
      <c r="A127" s="22"/>
      <c r="C127" s="26" t="s">
        <v>24</v>
      </c>
      <c r="D127" s="27"/>
      <c r="E127" s="27"/>
      <c r="F127" s="27"/>
      <c r="G127" s="27"/>
      <c r="H127" s="28">
        <f>D125*O127</f>
        <v>17</v>
      </c>
      <c r="N127" s="6" t="s">
        <v>44</v>
      </c>
      <c r="O127" s="6">
        <v>1.7</v>
      </c>
      <c r="P127" s="99" t="s">
        <v>212</v>
      </c>
    </row>
    <row r="128" spans="1:16" ht="8.1" customHeight="1" x14ac:dyDescent="0.25">
      <c r="A128" s="19"/>
      <c r="B128" s="20"/>
      <c r="C128" s="20"/>
      <c r="D128" s="20"/>
      <c r="E128" s="20"/>
      <c r="F128" s="20"/>
      <c r="G128" s="20"/>
      <c r="H128" s="21"/>
      <c r="P128" s="99"/>
    </row>
    <row r="129" spans="1:16" x14ac:dyDescent="0.25">
      <c r="A129" s="22"/>
      <c r="C129" s="3" t="s">
        <v>222</v>
      </c>
      <c r="H129" s="24"/>
      <c r="P129" s="99"/>
    </row>
    <row r="130" spans="1:16" x14ac:dyDescent="0.25">
      <c r="A130" s="22"/>
      <c r="C130" s="3" t="s">
        <v>43</v>
      </c>
      <c r="D130" s="3">
        <v>1</v>
      </c>
      <c r="H130" s="24"/>
      <c r="P130" s="99"/>
    </row>
    <row r="131" spans="1:16" x14ac:dyDescent="0.25">
      <c r="A131" s="22"/>
      <c r="C131" s="104"/>
      <c r="D131" s="104"/>
      <c r="H131" s="24"/>
      <c r="P131" s="99"/>
    </row>
    <row r="132" spans="1:16" x14ac:dyDescent="0.25">
      <c r="A132" s="22"/>
      <c r="C132" s="104" t="s">
        <v>223</v>
      </c>
      <c r="H132" s="24"/>
      <c r="P132" s="99"/>
    </row>
    <row r="133" spans="1:16" ht="8.1" customHeight="1" thickBot="1" x14ac:dyDescent="0.3">
      <c r="A133" s="22"/>
      <c r="C133" s="104"/>
      <c r="H133" s="24"/>
      <c r="P133" s="99"/>
    </row>
    <row r="134" spans="1:16" x14ac:dyDescent="0.25">
      <c r="A134" s="29"/>
      <c r="B134" s="30"/>
      <c r="C134" s="31" t="s">
        <v>24</v>
      </c>
      <c r="D134" s="32"/>
      <c r="E134" s="32"/>
      <c r="F134" s="32"/>
      <c r="G134" s="32"/>
      <c r="H134" s="103">
        <v>0</v>
      </c>
      <c r="P134" s="99"/>
    </row>
    <row r="135" spans="1:16" ht="8.1" customHeight="1" x14ac:dyDescent="0.25">
      <c r="A135" s="22"/>
      <c r="H135" s="24"/>
    </row>
    <row r="136" spans="1:16" x14ac:dyDescent="0.25">
      <c r="A136" s="22"/>
      <c r="C136" s="34" t="s">
        <v>40</v>
      </c>
      <c r="H136" s="24"/>
    </row>
    <row r="137" spans="1:16" x14ac:dyDescent="0.25">
      <c r="A137" s="22"/>
      <c r="C137" s="3" t="s">
        <v>41</v>
      </c>
      <c r="H137" s="24"/>
    </row>
    <row r="138" spans="1:16" ht="8.1" customHeight="1" thickBot="1" x14ac:dyDescent="0.3">
      <c r="A138" s="22"/>
      <c r="H138" s="24"/>
    </row>
    <row r="139" spans="1:16" ht="13.8" thickBot="1" x14ac:dyDescent="0.3">
      <c r="A139" s="29"/>
      <c r="B139" s="30"/>
      <c r="C139" s="35" t="s">
        <v>24</v>
      </c>
      <c r="D139" s="36"/>
      <c r="E139" s="36"/>
      <c r="F139" s="36"/>
      <c r="G139" s="36"/>
      <c r="H139" s="37">
        <f>O150</f>
        <v>303</v>
      </c>
      <c r="N139" s="10" t="s">
        <v>45</v>
      </c>
      <c r="O139" s="6">
        <v>303</v>
      </c>
      <c r="P139" s="99" t="s">
        <v>212</v>
      </c>
    </row>
    <row r="140" spans="1:16" ht="8.1" customHeight="1" x14ac:dyDescent="0.25">
      <c r="A140" s="122"/>
      <c r="N140" s="10"/>
      <c r="P140" s="99"/>
    </row>
    <row r="141" spans="1:16" s="108" customFormat="1" ht="8.1" customHeight="1" x14ac:dyDescent="0.3">
      <c r="A141" s="105"/>
      <c r="B141" s="106"/>
      <c r="C141" s="106"/>
      <c r="D141" s="106"/>
      <c r="E141" s="106"/>
      <c r="F141" s="106"/>
      <c r="G141" s="106"/>
      <c r="H141" s="107"/>
    </row>
    <row r="142" spans="1:16" s="108" customFormat="1" ht="14.4" x14ac:dyDescent="0.3">
      <c r="A142" s="109"/>
      <c r="B142" s="110"/>
      <c r="C142" s="34" t="s">
        <v>224</v>
      </c>
      <c r="D142" s="110"/>
      <c r="E142" s="110"/>
      <c r="F142" s="110"/>
      <c r="G142" s="110"/>
      <c r="H142" s="111"/>
    </row>
    <row r="143" spans="1:16" s="108" customFormat="1" ht="8.1" customHeight="1" x14ac:dyDescent="0.3">
      <c r="A143" s="109"/>
      <c r="B143" s="110"/>
      <c r="C143" s="110"/>
      <c r="D143" s="110"/>
      <c r="E143" s="110"/>
      <c r="F143" s="110"/>
      <c r="G143" s="110"/>
      <c r="H143" s="111"/>
    </row>
    <row r="144" spans="1:16" s="108" customFormat="1" ht="14.4" x14ac:dyDescent="0.3">
      <c r="A144" s="109"/>
      <c r="C144" s="181" t="s">
        <v>225</v>
      </c>
      <c r="D144" s="182"/>
      <c r="E144" s="112" t="s">
        <v>226</v>
      </c>
      <c r="F144" s="113" t="s">
        <v>227</v>
      </c>
      <c r="G144" s="114" t="s">
        <v>228</v>
      </c>
      <c r="H144" s="115" t="s">
        <v>229</v>
      </c>
    </row>
    <row r="145" spans="1:21" s="108" customFormat="1" ht="15" thickBot="1" x14ac:dyDescent="0.35">
      <c r="A145" s="109"/>
      <c r="C145" s="181" t="s">
        <v>230</v>
      </c>
      <c r="D145" s="182"/>
      <c r="E145" s="112">
        <v>603001</v>
      </c>
      <c r="F145" s="113">
        <f>E72*1.468</f>
        <v>1.468</v>
      </c>
      <c r="G145" s="116">
        <v>0.06</v>
      </c>
      <c r="H145" s="115">
        <f>G145*F145</f>
        <v>8.8079999999999992E-2</v>
      </c>
    </row>
    <row r="146" spans="1:21" s="108" customFormat="1" ht="15" thickBot="1" x14ac:dyDescent="0.35">
      <c r="A146" s="109"/>
      <c r="B146" s="110"/>
      <c r="C146" s="117" t="s">
        <v>231</v>
      </c>
      <c r="D146" s="118"/>
      <c r="E146" s="118"/>
      <c r="F146" s="118"/>
      <c r="G146" s="118"/>
      <c r="H146" s="119">
        <f>H145</f>
        <v>8.8079999999999992E-2</v>
      </c>
    </row>
    <row r="147" spans="1:21" s="108" customFormat="1" ht="14.4" x14ac:dyDescent="0.3">
      <c r="A147" s="178" t="s">
        <v>232</v>
      </c>
      <c r="B147" s="179"/>
      <c r="C147" s="179"/>
      <c r="D147" s="179"/>
      <c r="E147" s="179"/>
      <c r="F147" s="179"/>
      <c r="G147" s="179"/>
      <c r="H147" s="180"/>
    </row>
    <row r="148" spans="1:21" ht="8.1" customHeight="1" x14ac:dyDescent="0.25">
      <c r="O148" s="5"/>
    </row>
    <row r="149" spans="1:21" ht="14.4" x14ac:dyDescent="0.3">
      <c r="A149" s="6"/>
      <c r="B149" s="6"/>
      <c r="C149" s="160" t="s">
        <v>25</v>
      </c>
      <c r="D149" s="161"/>
      <c r="E149" s="161"/>
      <c r="F149" s="161"/>
      <c r="G149" s="175"/>
      <c r="H149" s="38">
        <f>SUM(H76:H139)</f>
        <v>887.00000000000011</v>
      </c>
    </row>
    <row r="150" spans="1:21" ht="14.4" x14ac:dyDescent="0.3">
      <c r="A150" s="6"/>
      <c r="B150" s="6"/>
      <c r="C150" s="172" t="str">
        <f>IF(H149&gt;10000,"Remise 3%","")</f>
        <v/>
      </c>
      <c r="D150" s="173"/>
      <c r="E150" s="173"/>
      <c r="F150" s="173"/>
      <c r="G150" s="174"/>
      <c r="H150" s="128" t="str">
        <f>IF(H149&gt;=10000,(H149/100)*3,"")</f>
        <v/>
      </c>
      <c r="M150" s="6" t="s">
        <v>47</v>
      </c>
      <c r="O150" s="6">
        <f>IF(U150&lt;3000,O139,0)</f>
        <v>303</v>
      </c>
      <c r="R150" s="54" t="s">
        <v>48</v>
      </c>
      <c r="U150" s="5">
        <f>SUM(H76:H127)</f>
        <v>584.00000000000011</v>
      </c>
    </row>
    <row r="151" spans="1:21" ht="14.4" x14ac:dyDescent="0.3">
      <c r="A151" s="6"/>
      <c r="B151" s="6"/>
      <c r="C151" s="160" t="str">
        <f>IF(H149&gt;=10000,"PRIX TOTAL APRES REMISE HT","")</f>
        <v/>
      </c>
      <c r="D151" s="161"/>
      <c r="E151" s="161"/>
      <c r="F151" s="161"/>
      <c r="G151" s="161"/>
      <c r="H151" s="38" t="str">
        <f>IFERROR(IF(H149&gt;=10000,H149-H150,"")+H146,"")</f>
        <v/>
      </c>
      <c r="R151" s="54"/>
      <c r="U151" s="5"/>
    </row>
    <row r="152" spans="1:21" x14ac:dyDescent="0.25">
      <c r="A152" s="6"/>
      <c r="B152" s="6"/>
      <c r="C152" s="6"/>
      <c r="D152" s="6"/>
      <c r="E152" s="6"/>
      <c r="F152" s="6"/>
      <c r="G152" s="6"/>
      <c r="H152" s="6"/>
    </row>
    <row r="153" spans="1:21" x14ac:dyDescent="0.25">
      <c r="A153" s="39" t="s">
        <v>26</v>
      </c>
      <c r="B153" s="40"/>
      <c r="C153" s="40"/>
      <c r="D153" s="40"/>
      <c r="E153" s="40"/>
      <c r="F153" s="40"/>
      <c r="G153" s="40"/>
      <c r="H153" s="41"/>
    </row>
    <row r="154" spans="1:21" x14ac:dyDescent="0.25">
      <c r="A154" s="42" t="s">
        <v>27</v>
      </c>
      <c r="B154" s="120"/>
      <c r="C154" s="120"/>
      <c r="D154" s="120"/>
      <c r="E154" s="120"/>
      <c r="F154" s="120"/>
      <c r="G154" s="120"/>
      <c r="H154" s="43"/>
    </row>
    <row r="155" spans="1:21" x14ac:dyDescent="0.25">
      <c r="A155" s="42" t="s">
        <v>28</v>
      </c>
      <c r="B155" s="120"/>
      <c r="C155" s="120"/>
      <c r="D155" s="120"/>
      <c r="E155" s="120"/>
      <c r="F155" s="120"/>
      <c r="G155" s="120"/>
      <c r="H155" s="43"/>
    </row>
    <row r="156" spans="1:21" x14ac:dyDescent="0.25">
      <c r="A156" s="42" t="s">
        <v>29</v>
      </c>
      <c r="B156" s="120"/>
      <c r="C156" s="120"/>
      <c r="D156" s="120"/>
      <c r="E156" s="120"/>
      <c r="F156" s="120"/>
      <c r="G156" s="120"/>
      <c r="H156" s="43"/>
    </row>
    <row r="157" spans="1:21" x14ac:dyDescent="0.25">
      <c r="A157" s="42" t="s">
        <v>30</v>
      </c>
      <c r="B157" s="120"/>
      <c r="C157" s="120"/>
      <c r="D157" s="120"/>
      <c r="E157" s="120"/>
      <c r="F157" s="120"/>
      <c r="G157" s="120"/>
      <c r="H157" s="43"/>
    </row>
    <row r="158" spans="1:21" x14ac:dyDescent="0.25">
      <c r="A158" s="44" t="s">
        <v>31</v>
      </c>
      <c r="B158" s="120"/>
      <c r="C158" s="120"/>
      <c r="D158" s="120"/>
      <c r="E158" s="120"/>
      <c r="F158" s="120"/>
      <c r="G158" s="120"/>
      <c r="H158" s="43"/>
    </row>
    <row r="159" spans="1:21" x14ac:dyDescent="0.25">
      <c r="A159" s="121" t="s">
        <v>32</v>
      </c>
      <c r="B159" s="45"/>
      <c r="C159" s="45"/>
      <c r="D159" s="45"/>
      <c r="E159" s="45"/>
      <c r="F159" s="45"/>
      <c r="G159" s="45"/>
      <c r="H159" s="46"/>
    </row>
    <row r="160" spans="1:21" x14ac:dyDescent="0.25">
      <c r="A160" s="6"/>
      <c r="B160" s="6"/>
      <c r="C160" s="6"/>
      <c r="D160" s="6"/>
      <c r="E160" s="6"/>
      <c r="F160" s="6"/>
      <c r="G160" s="6"/>
      <c r="H160" s="6"/>
    </row>
    <row r="161" spans="1:8" x14ac:dyDescent="0.25">
      <c r="A161" s="3" t="s">
        <v>33</v>
      </c>
      <c r="E161" s="6"/>
      <c r="F161" s="6"/>
      <c r="G161" s="6"/>
      <c r="H161" s="6"/>
    </row>
    <row r="162" spans="1:8" x14ac:dyDescent="0.25">
      <c r="A162" s="3" t="s">
        <v>34</v>
      </c>
      <c r="E162" s="6"/>
      <c r="F162" s="6"/>
      <c r="G162" s="6"/>
      <c r="H162" s="6"/>
    </row>
    <row r="163" spans="1:8" x14ac:dyDescent="0.25">
      <c r="A163" s="3" t="s">
        <v>35</v>
      </c>
      <c r="E163" s="6"/>
      <c r="F163" s="6"/>
      <c r="G163" s="6"/>
      <c r="H163" s="6"/>
    </row>
    <row r="164" spans="1:8" x14ac:dyDescent="0.25">
      <c r="A164" s="6"/>
      <c r="B164" s="6"/>
      <c r="C164" s="6"/>
      <c r="D164" s="6"/>
      <c r="E164" s="6"/>
      <c r="F164" s="6"/>
      <c r="G164" s="6"/>
      <c r="H164" s="6"/>
    </row>
    <row r="165" spans="1:8" x14ac:dyDescent="0.25">
      <c r="A165" s="47" t="s">
        <v>36</v>
      </c>
      <c r="B165" s="40"/>
      <c r="C165" s="41"/>
      <c r="D165" s="6"/>
      <c r="E165" s="6"/>
      <c r="F165" s="6"/>
      <c r="G165" s="6"/>
      <c r="H165" s="6"/>
    </row>
    <row r="166" spans="1:8" x14ac:dyDescent="0.25">
      <c r="A166" s="48"/>
      <c r="B166" s="17"/>
      <c r="C166" s="49"/>
      <c r="D166" s="17"/>
      <c r="E166" s="17"/>
      <c r="F166" s="17"/>
      <c r="G166" s="17"/>
      <c r="H166" s="17"/>
    </row>
    <row r="167" spans="1:8" x14ac:dyDescent="0.25">
      <c r="A167" s="50"/>
      <c r="B167" s="6"/>
      <c r="C167" s="25"/>
      <c r="D167" s="23" t="s">
        <v>37</v>
      </c>
      <c r="E167" s="6"/>
      <c r="F167" s="6"/>
      <c r="G167" s="6"/>
      <c r="H167" s="6"/>
    </row>
    <row r="168" spans="1:8" x14ac:dyDescent="0.25">
      <c r="A168" s="50"/>
      <c r="B168" s="6"/>
      <c r="C168" s="25"/>
      <c r="D168" s="6"/>
      <c r="E168" s="6"/>
      <c r="F168" s="6"/>
      <c r="G168" s="6"/>
      <c r="H168" s="6"/>
    </row>
    <row r="169" spans="1:8" x14ac:dyDescent="0.25">
      <c r="A169" s="50"/>
      <c r="B169" s="6"/>
      <c r="C169" s="25"/>
      <c r="D169" s="23" t="s">
        <v>38</v>
      </c>
      <c r="E169" s="6"/>
      <c r="F169" s="6"/>
      <c r="G169" s="6"/>
      <c r="H169" s="6"/>
    </row>
    <row r="170" spans="1:8" x14ac:dyDescent="0.25">
      <c r="A170" s="50"/>
      <c r="B170" s="6"/>
      <c r="C170" s="25"/>
      <c r="D170" s="6"/>
      <c r="E170" s="6"/>
      <c r="F170" s="6"/>
      <c r="G170" s="6"/>
      <c r="H170" s="6"/>
    </row>
    <row r="171" spans="1:8" x14ac:dyDescent="0.25">
      <c r="A171" s="51"/>
      <c r="B171" s="52"/>
      <c r="C171" s="53"/>
      <c r="D171" s="6"/>
      <c r="E171" s="6"/>
      <c r="F171" s="12" t="s">
        <v>39</v>
      </c>
      <c r="G171" s="6"/>
      <c r="H171" s="6"/>
    </row>
  </sheetData>
  <mergeCells count="13">
    <mergeCell ref="C151:G151"/>
    <mergeCell ref="A63:G63"/>
    <mergeCell ref="F1:H1"/>
    <mergeCell ref="F2:H2"/>
    <mergeCell ref="E5:H5"/>
    <mergeCell ref="C150:G150"/>
    <mergeCell ref="C149:G149"/>
    <mergeCell ref="F72:G72"/>
    <mergeCell ref="A112:G112"/>
    <mergeCell ref="A147:H147"/>
    <mergeCell ref="C144:D144"/>
    <mergeCell ref="C145:D145"/>
    <mergeCell ref="F3:H4"/>
  </mergeCells>
  <conditionalFormatting sqref="C150:H150">
    <cfRule type="containsBlanks" dxfId="3" priority="7">
      <formula>LEN(TRIM(C150))=0</formula>
    </cfRule>
  </conditionalFormatting>
  <conditionalFormatting sqref="C150:H150">
    <cfRule type="containsBlanks" dxfId="2" priority="3">
      <formula>LEN(TRIM(C150))=0</formula>
    </cfRule>
  </conditionalFormatting>
  <conditionalFormatting sqref="C151:H151">
    <cfRule type="containsBlanks" dxfId="1" priority="2">
      <formula>LEN(TRIM(C151))=0</formula>
    </cfRule>
  </conditionalFormatting>
  <conditionalFormatting sqref="C151:H151">
    <cfRule type="containsBlanks" dxfId="0" priority="1">
      <formula>LEN(TRIM(C151))=0</formula>
    </cfRule>
  </conditionalFormatting>
  <hyperlinks>
    <hyperlink ref="A9" r:id="rId1" xr:uid="{6B660AFD-03AD-4F50-93F1-AC7896AF2648}"/>
  </hyperlinks>
  <printOptions horizontalCentered="1" gridLinesSet="0"/>
  <pageMargins left="0.19685039370078741" right="0.19685039370078741" top="0.39370078740157483" bottom="0" header="0" footer="0"/>
  <pageSetup paperSize="9" orientation="portrait" errors="blank" r:id="rId2"/>
  <headerFooter alignWithMargins="0">
    <oddFooter>&amp;C&amp;7siège social : 174 route de Lyon - Domarin -  38307 BOURGOIN-JALLIEU CEDEX - France
site web : www.horizal.com       tél : 04 74 93 25 35      e-mail : horizal@horizal.com
&amp;RPage &amp;P / &amp;N</oddFooter>
  </headerFooter>
  <rowBreaks count="1" manualBreakCount="1">
    <brk id="111" max="7" man="1"/>
  </rowBreak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25757-7E2B-4FCD-9F15-A973708D71AB}">
  <sheetPr codeName="Feuil3"/>
  <dimension ref="A1:S120"/>
  <sheetViews>
    <sheetView zoomScaleNormal="100" workbookViewId="0">
      <pane ySplit="3" topLeftCell="A4" activePane="bottomLeft" state="frozen"/>
      <selection pane="bottomLeft" activeCell="B15" sqref="B15:G15"/>
    </sheetView>
  </sheetViews>
  <sheetFormatPr baseColWidth="10" defaultColWidth="11.44140625" defaultRowHeight="18" customHeight="1" x14ac:dyDescent="0.3"/>
  <cols>
    <col min="1" max="1" width="30.109375" style="70" customWidth="1"/>
    <col min="2" max="2" width="55.33203125" style="78" customWidth="1"/>
    <col min="3" max="3" width="11.6640625" style="78" bestFit="1" customWidth="1"/>
    <col min="4" max="4" width="7.44140625" style="79" customWidth="1"/>
    <col min="5" max="5" width="7.88671875" style="79" customWidth="1"/>
    <col min="6" max="6" width="17.6640625" style="79" customWidth="1"/>
    <col min="7" max="7" width="36.5546875" style="79" customWidth="1"/>
    <col min="8" max="8" width="16.33203125" style="80" customWidth="1"/>
    <col min="9" max="9" width="36" style="80" customWidth="1"/>
    <col min="10" max="10" width="6.6640625" style="80" customWidth="1"/>
    <col min="11" max="11" width="21" style="80" customWidth="1"/>
    <col min="12" max="16384" width="11.44140625" style="70"/>
  </cols>
  <sheetData>
    <row r="1" spans="1:19" ht="18" customHeight="1" x14ac:dyDescent="0.3">
      <c r="F1" s="84">
        <f>'Demande de prix'!$N$50</f>
        <v>0</v>
      </c>
      <c r="G1" s="84"/>
      <c r="H1" s="83" t="e">
        <f>LEFT(#REF!,2)</f>
        <v>#REF!</v>
      </c>
      <c r="I1" s="83">
        <f>'Demande de prix'!$N$50</f>
        <v>0</v>
      </c>
    </row>
    <row r="2" spans="1:19" ht="18" customHeight="1" thickBot="1" x14ac:dyDescent="0.35"/>
    <row r="3" spans="1:19" s="63" customFormat="1" ht="36.75" customHeight="1" thickBot="1" x14ac:dyDescent="0.45">
      <c r="A3" s="58" t="s">
        <v>74</v>
      </c>
      <c r="B3" s="58" t="s">
        <v>75</v>
      </c>
      <c r="C3" s="58" t="s">
        <v>76</v>
      </c>
      <c r="D3" s="59" t="s">
        <v>77</v>
      </c>
      <c r="E3" s="60" t="s">
        <v>78</v>
      </c>
      <c r="F3" s="61" t="s">
        <v>79</v>
      </c>
      <c r="G3" s="86" t="s">
        <v>202</v>
      </c>
      <c r="H3" s="85" t="s">
        <v>140</v>
      </c>
      <c r="I3" s="62" t="str">
        <f>VLOOKUP(H3,A4:F100,2,FALSE)</f>
        <v>Philippe ROUDIL</v>
      </c>
      <c r="J3" s="62">
        <f>VLOOKUP(H3,A4:F100,4,FALSE)</f>
        <v>4</v>
      </c>
      <c r="K3" s="62" t="str">
        <f>VLOOKUP(H3,A4:F100,3,FALSE)</f>
        <v>Corinne</v>
      </c>
    </row>
    <row r="4" spans="1:19" ht="22.5" customHeight="1" x14ac:dyDescent="0.3">
      <c r="A4" s="81" t="s">
        <v>99</v>
      </c>
      <c r="B4" s="64" t="s">
        <v>80</v>
      </c>
      <c r="C4" s="64" t="s">
        <v>81</v>
      </c>
      <c r="D4" s="65">
        <v>4</v>
      </c>
      <c r="E4" s="66">
        <v>3319</v>
      </c>
      <c r="F4" s="67" t="s">
        <v>82</v>
      </c>
      <c r="G4" s="88" t="s">
        <v>196</v>
      </c>
      <c r="H4" s="68"/>
      <c r="I4" s="69" t="str">
        <f>VLOOKUP(I3,B4:F100,5,FALSE)</f>
        <v>06.11.86.06.24</v>
      </c>
      <c r="J4" s="68"/>
      <c r="K4" s="68"/>
    </row>
    <row r="5" spans="1:19" ht="18" customHeight="1" x14ac:dyDescent="0.3">
      <c r="A5" s="81" t="s">
        <v>100</v>
      </c>
      <c r="B5" s="71" t="s">
        <v>83</v>
      </c>
      <c r="C5" s="71" t="s">
        <v>84</v>
      </c>
      <c r="D5" s="72">
        <v>9</v>
      </c>
      <c r="E5" s="73">
        <v>3188</v>
      </c>
      <c r="F5" s="74" t="s">
        <v>85</v>
      </c>
      <c r="G5" s="89" t="s">
        <v>203</v>
      </c>
      <c r="H5" s="68"/>
      <c r="I5" s="68"/>
      <c r="J5" s="68"/>
      <c r="K5" s="68"/>
    </row>
    <row r="6" spans="1:19" ht="18" customHeight="1" x14ac:dyDescent="0.3">
      <c r="A6" s="81" t="s">
        <v>101</v>
      </c>
      <c r="B6" s="64" t="s">
        <v>80</v>
      </c>
      <c r="C6" s="64" t="s">
        <v>81</v>
      </c>
      <c r="D6" s="65">
        <v>4</v>
      </c>
      <c r="E6" s="66">
        <v>3319</v>
      </c>
      <c r="F6" s="67" t="s">
        <v>82</v>
      </c>
      <c r="G6" s="88" t="s">
        <v>196</v>
      </c>
      <c r="H6" s="68"/>
      <c r="I6" s="68"/>
      <c r="J6" s="68"/>
      <c r="K6" s="68"/>
    </row>
    <row r="7" spans="1:19" ht="18" customHeight="1" x14ac:dyDescent="0.3">
      <c r="A7" s="81" t="s">
        <v>102</v>
      </c>
      <c r="B7" s="71" t="s">
        <v>86</v>
      </c>
      <c r="C7" s="71" t="s">
        <v>81</v>
      </c>
      <c r="D7" s="72">
        <v>5</v>
      </c>
      <c r="E7" s="73">
        <v>3320</v>
      </c>
      <c r="F7" s="74" t="s">
        <v>87</v>
      </c>
      <c r="G7" s="89" t="s">
        <v>200</v>
      </c>
      <c r="H7" s="68"/>
      <c r="I7" s="68"/>
      <c r="J7" s="68"/>
      <c r="K7" s="68"/>
    </row>
    <row r="8" spans="1:19" ht="18" customHeight="1" x14ac:dyDescent="0.3">
      <c r="A8" s="81" t="s">
        <v>103</v>
      </c>
      <c r="B8" s="64" t="s">
        <v>80</v>
      </c>
      <c r="C8" s="64" t="s">
        <v>81</v>
      </c>
      <c r="D8" s="65">
        <v>4</v>
      </c>
      <c r="E8" s="66">
        <v>3319</v>
      </c>
      <c r="F8" s="67" t="s">
        <v>82</v>
      </c>
      <c r="G8" s="88" t="s">
        <v>196</v>
      </c>
      <c r="H8" s="68"/>
      <c r="I8" s="68">
        <f>$F$1</f>
        <v>0</v>
      </c>
      <c r="J8" s="68"/>
      <c r="K8" s="68"/>
    </row>
    <row r="9" spans="1:19" ht="18" customHeight="1" x14ac:dyDescent="0.3">
      <c r="A9" s="81" t="s">
        <v>104</v>
      </c>
      <c r="B9" s="71" t="s">
        <v>86</v>
      </c>
      <c r="C9" s="71" t="s">
        <v>81</v>
      </c>
      <c r="D9" s="72">
        <v>5</v>
      </c>
      <c r="E9" s="73">
        <v>3320</v>
      </c>
      <c r="F9" s="74" t="s">
        <v>87</v>
      </c>
      <c r="G9" s="89" t="s">
        <v>200</v>
      </c>
      <c r="H9" s="68"/>
      <c r="I9" s="68"/>
      <c r="J9" s="68"/>
      <c r="K9" s="68"/>
    </row>
    <row r="10" spans="1:19" ht="18" customHeight="1" x14ac:dyDescent="0.3">
      <c r="A10" s="81" t="s">
        <v>105</v>
      </c>
      <c r="B10" s="64" t="s">
        <v>80</v>
      </c>
      <c r="C10" s="64" t="s">
        <v>81</v>
      </c>
      <c r="D10" s="65">
        <v>4</v>
      </c>
      <c r="E10" s="66">
        <v>3319</v>
      </c>
      <c r="F10" s="67" t="s">
        <v>82</v>
      </c>
      <c r="G10" s="88" t="s">
        <v>196</v>
      </c>
      <c r="H10" s="68"/>
      <c r="I10" s="68"/>
      <c r="J10" s="68"/>
      <c r="K10" s="68"/>
    </row>
    <row r="11" spans="1:19" ht="18" customHeight="1" x14ac:dyDescent="0.3">
      <c r="A11" s="81" t="s">
        <v>106</v>
      </c>
      <c r="B11" s="71" t="s">
        <v>83</v>
      </c>
      <c r="C11" s="71" t="s">
        <v>84</v>
      </c>
      <c r="D11" s="72">
        <v>9</v>
      </c>
      <c r="E11" s="73">
        <v>3188</v>
      </c>
      <c r="F11" s="74" t="s">
        <v>85</v>
      </c>
      <c r="G11" s="89" t="s">
        <v>203</v>
      </c>
      <c r="H11" s="68"/>
      <c r="I11" s="68"/>
      <c r="J11" s="68"/>
      <c r="K11" s="68"/>
    </row>
    <row r="12" spans="1:19" ht="18" customHeight="1" x14ac:dyDescent="0.3">
      <c r="A12" s="81" t="s">
        <v>107</v>
      </c>
      <c r="B12" s="64" t="s">
        <v>213</v>
      </c>
      <c r="C12" s="64" t="s">
        <v>88</v>
      </c>
      <c r="D12" s="65">
        <v>6</v>
      </c>
      <c r="E12" s="66">
        <v>3321</v>
      </c>
      <c r="F12" s="67" t="s">
        <v>89</v>
      </c>
      <c r="G12" s="88" t="s">
        <v>214</v>
      </c>
      <c r="H12" s="68"/>
      <c r="I12" s="68"/>
      <c r="J12" s="68"/>
      <c r="K12" s="68"/>
    </row>
    <row r="13" spans="1:19" ht="18" customHeight="1" x14ac:dyDescent="0.3">
      <c r="A13" s="81" t="s">
        <v>112</v>
      </c>
      <c r="B13" s="71" t="s">
        <v>90</v>
      </c>
      <c r="C13" s="71" t="s">
        <v>84</v>
      </c>
      <c r="D13" s="72">
        <v>3</v>
      </c>
      <c r="E13" s="73">
        <v>3002</v>
      </c>
      <c r="F13" s="74" t="s">
        <v>91</v>
      </c>
      <c r="G13" s="89" t="s">
        <v>201</v>
      </c>
      <c r="H13" s="68"/>
      <c r="I13" s="68"/>
      <c r="J13" s="68"/>
      <c r="K13" s="68"/>
      <c r="R13" s="70">
        <v>2</v>
      </c>
      <c r="S13" s="70">
        <v>1</v>
      </c>
    </row>
    <row r="14" spans="1:19" ht="18" customHeight="1" x14ac:dyDescent="0.3">
      <c r="A14" s="81" t="s">
        <v>113</v>
      </c>
      <c r="B14" s="64" t="s">
        <v>86</v>
      </c>
      <c r="C14" s="64" t="s">
        <v>81</v>
      </c>
      <c r="D14" s="65">
        <v>5</v>
      </c>
      <c r="E14" s="66">
        <v>3320</v>
      </c>
      <c r="F14" s="67" t="s">
        <v>87</v>
      </c>
      <c r="G14" s="89" t="s">
        <v>200</v>
      </c>
      <c r="H14" s="68"/>
      <c r="I14" s="68"/>
      <c r="J14" s="68"/>
      <c r="K14" s="68"/>
    </row>
    <row r="15" spans="1:19" ht="18" customHeight="1" x14ac:dyDescent="0.3">
      <c r="A15" s="81" t="s">
        <v>114</v>
      </c>
      <c r="B15" s="71" t="s">
        <v>86</v>
      </c>
      <c r="C15" s="71" t="s">
        <v>81</v>
      </c>
      <c r="D15" s="72">
        <v>5</v>
      </c>
      <c r="E15" s="73">
        <v>3320</v>
      </c>
      <c r="F15" s="74" t="s">
        <v>87</v>
      </c>
      <c r="G15" s="89" t="s">
        <v>200</v>
      </c>
      <c r="H15" s="68"/>
      <c r="I15" s="68"/>
      <c r="J15" s="68"/>
      <c r="K15" s="68"/>
    </row>
    <row r="16" spans="1:19" ht="18" customHeight="1" x14ac:dyDescent="0.3">
      <c r="A16" s="81" t="s">
        <v>115</v>
      </c>
      <c r="B16" s="64" t="s">
        <v>86</v>
      </c>
      <c r="C16" s="64" t="s">
        <v>81</v>
      </c>
      <c r="D16" s="65">
        <v>5</v>
      </c>
      <c r="E16" s="66">
        <v>3320</v>
      </c>
      <c r="F16" s="67" t="s">
        <v>87</v>
      </c>
      <c r="G16" s="89" t="s">
        <v>200</v>
      </c>
      <c r="H16" s="68"/>
      <c r="I16" s="68"/>
      <c r="J16" s="68"/>
      <c r="K16" s="68"/>
    </row>
    <row r="17" spans="1:11" ht="18" customHeight="1" x14ac:dyDescent="0.3">
      <c r="A17" s="81" t="s">
        <v>116</v>
      </c>
      <c r="B17" s="71" t="s">
        <v>92</v>
      </c>
      <c r="C17" s="71" t="s">
        <v>93</v>
      </c>
      <c r="D17" s="72">
        <v>1</v>
      </c>
      <c r="E17" s="73">
        <v>3316</v>
      </c>
      <c r="F17" s="74" t="s">
        <v>94</v>
      </c>
      <c r="G17" s="89" t="s">
        <v>197</v>
      </c>
      <c r="H17" s="68"/>
      <c r="I17" s="68"/>
      <c r="J17" s="68"/>
      <c r="K17" s="68"/>
    </row>
    <row r="18" spans="1:11" ht="18" customHeight="1" x14ac:dyDescent="0.3">
      <c r="A18" s="81" t="s">
        <v>117</v>
      </c>
      <c r="B18" s="64" t="s">
        <v>213</v>
      </c>
      <c r="C18" s="64" t="s">
        <v>88</v>
      </c>
      <c r="D18" s="65">
        <v>6</v>
      </c>
      <c r="E18" s="66">
        <v>3321</v>
      </c>
      <c r="F18" s="67" t="s">
        <v>89</v>
      </c>
      <c r="G18" s="88" t="s">
        <v>214</v>
      </c>
      <c r="H18" s="68"/>
      <c r="I18" s="68"/>
      <c r="J18" s="68"/>
      <c r="K18" s="68"/>
    </row>
    <row r="19" spans="1:11" ht="18" customHeight="1" x14ac:dyDescent="0.3">
      <c r="A19" s="81" t="s">
        <v>118</v>
      </c>
      <c r="B19" s="71" t="s">
        <v>213</v>
      </c>
      <c r="C19" s="71" t="s">
        <v>88</v>
      </c>
      <c r="D19" s="72">
        <v>6</v>
      </c>
      <c r="E19" s="73">
        <v>3321</v>
      </c>
      <c r="F19" s="74" t="s">
        <v>89</v>
      </c>
      <c r="G19" s="88" t="s">
        <v>214</v>
      </c>
      <c r="H19" s="68"/>
      <c r="I19" s="68"/>
      <c r="J19" s="68"/>
      <c r="K19" s="68"/>
    </row>
    <row r="20" spans="1:11" ht="18" customHeight="1" x14ac:dyDescent="0.3">
      <c r="A20" s="81" t="s">
        <v>119</v>
      </c>
      <c r="B20" s="64" t="s">
        <v>213</v>
      </c>
      <c r="C20" s="64" t="s">
        <v>88</v>
      </c>
      <c r="D20" s="65">
        <v>6</v>
      </c>
      <c r="E20" s="66">
        <v>3321</v>
      </c>
      <c r="F20" s="67" t="s">
        <v>89</v>
      </c>
      <c r="G20" s="88" t="s">
        <v>214</v>
      </c>
      <c r="H20" s="68"/>
      <c r="I20" s="68"/>
      <c r="J20" s="68"/>
      <c r="K20" s="68"/>
    </row>
    <row r="21" spans="1:11" ht="18" customHeight="1" x14ac:dyDescent="0.3">
      <c r="A21" s="81" t="s">
        <v>120</v>
      </c>
      <c r="B21" s="71" t="s">
        <v>95</v>
      </c>
      <c r="C21" s="71" t="s">
        <v>88</v>
      </c>
      <c r="D21" s="72">
        <v>2</v>
      </c>
      <c r="E21" s="73">
        <v>3323</v>
      </c>
      <c r="F21" s="74" t="s">
        <v>96</v>
      </c>
      <c r="G21" s="89" t="s">
        <v>199</v>
      </c>
      <c r="H21" s="68"/>
      <c r="I21" s="68"/>
      <c r="J21" s="68"/>
      <c r="K21" s="68"/>
    </row>
    <row r="22" spans="1:11" ht="18" customHeight="1" x14ac:dyDescent="0.3">
      <c r="A22" s="81" t="s">
        <v>121</v>
      </c>
      <c r="B22" s="64" t="s">
        <v>213</v>
      </c>
      <c r="C22" s="64" t="s">
        <v>88</v>
      </c>
      <c r="D22" s="65">
        <v>6</v>
      </c>
      <c r="E22" s="66">
        <v>3321</v>
      </c>
      <c r="F22" s="67" t="s">
        <v>89</v>
      </c>
      <c r="G22" s="88" t="s">
        <v>214</v>
      </c>
      <c r="H22" s="68"/>
      <c r="I22" s="68"/>
      <c r="J22" s="68"/>
      <c r="K22" s="68"/>
    </row>
    <row r="23" spans="1:11" ht="18" customHeight="1" x14ac:dyDescent="0.3">
      <c r="A23" s="81" t="s">
        <v>122</v>
      </c>
      <c r="B23" s="71" t="s">
        <v>86</v>
      </c>
      <c r="C23" s="71" t="s">
        <v>81</v>
      </c>
      <c r="D23" s="72">
        <v>5</v>
      </c>
      <c r="E23" s="73">
        <v>3320</v>
      </c>
      <c r="F23" s="74" t="s">
        <v>87</v>
      </c>
      <c r="G23" s="89" t="s">
        <v>200</v>
      </c>
      <c r="H23" s="68"/>
      <c r="I23" s="68"/>
      <c r="J23" s="68"/>
      <c r="K23" s="68"/>
    </row>
    <row r="24" spans="1:11" ht="18" customHeight="1" x14ac:dyDescent="0.3">
      <c r="A24" s="81" t="s">
        <v>123</v>
      </c>
      <c r="B24" s="64" t="s">
        <v>90</v>
      </c>
      <c r="C24" s="64" t="s">
        <v>84</v>
      </c>
      <c r="D24" s="65">
        <v>3</v>
      </c>
      <c r="E24" s="66">
        <v>3002</v>
      </c>
      <c r="F24" s="67" t="s">
        <v>91</v>
      </c>
      <c r="G24" s="89" t="s">
        <v>201</v>
      </c>
      <c r="H24" s="68"/>
      <c r="I24" s="68"/>
      <c r="J24" s="68"/>
      <c r="K24" s="68"/>
    </row>
    <row r="25" spans="1:11" ht="18" customHeight="1" x14ac:dyDescent="0.3">
      <c r="A25" s="81" t="s">
        <v>124</v>
      </c>
      <c r="B25" s="71" t="s">
        <v>97</v>
      </c>
      <c r="C25" s="71" t="s">
        <v>93</v>
      </c>
      <c r="D25" s="72">
        <v>7</v>
      </c>
      <c r="E25" s="73">
        <v>3006</v>
      </c>
      <c r="F25" s="74" t="s">
        <v>98</v>
      </c>
      <c r="G25" s="89" t="s">
        <v>198</v>
      </c>
      <c r="H25" s="68"/>
      <c r="I25" s="68"/>
      <c r="J25" s="68"/>
      <c r="K25" s="68"/>
    </row>
    <row r="26" spans="1:11" ht="18" customHeight="1" x14ac:dyDescent="0.3">
      <c r="A26" s="81" t="s">
        <v>125</v>
      </c>
      <c r="B26" s="64" t="s">
        <v>213</v>
      </c>
      <c r="C26" s="64" t="s">
        <v>88</v>
      </c>
      <c r="D26" s="65">
        <v>6</v>
      </c>
      <c r="E26" s="66">
        <v>3321</v>
      </c>
      <c r="F26" s="67" t="s">
        <v>89</v>
      </c>
      <c r="G26" s="88" t="s">
        <v>214</v>
      </c>
      <c r="H26" s="68"/>
      <c r="I26" s="68"/>
      <c r="J26" s="68"/>
      <c r="K26" s="68"/>
    </row>
    <row r="27" spans="1:11" ht="18" customHeight="1" x14ac:dyDescent="0.3">
      <c r="A27" s="81" t="s">
        <v>126</v>
      </c>
      <c r="B27" s="71" t="s">
        <v>213</v>
      </c>
      <c r="C27" s="71" t="s">
        <v>88</v>
      </c>
      <c r="D27" s="72">
        <v>6</v>
      </c>
      <c r="E27" s="73">
        <v>3321</v>
      </c>
      <c r="F27" s="74" t="s">
        <v>89</v>
      </c>
      <c r="G27" s="88" t="s">
        <v>214</v>
      </c>
      <c r="H27" s="68"/>
      <c r="I27" s="68"/>
      <c r="J27" s="68"/>
      <c r="K27" s="68"/>
    </row>
    <row r="28" spans="1:11" ht="18" customHeight="1" x14ac:dyDescent="0.3">
      <c r="A28" s="81" t="s">
        <v>127</v>
      </c>
      <c r="B28" s="64" t="s">
        <v>90</v>
      </c>
      <c r="C28" s="64" t="s">
        <v>84</v>
      </c>
      <c r="D28" s="65">
        <v>3</v>
      </c>
      <c r="E28" s="66">
        <v>3002</v>
      </c>
      <c r="F28" s="67" t="s">
        <v>91</v>
      </c>
      <c r="G28" s="89" t="s">
        <v>201</v>
      </c>
      <c r="H28" s="68"/>
      <c r="I28" s="68"/>
      <c r="J28" s="68"/>
      <c r="K28" s="68"/>
    </row>
    <row r="29" spans="1:11" ht="18" customHeight="1" x14ac:dyDescent="0.3">
      <c r="A29" s="81" t="s">
        <v>128</v>
      </c>
      <c r="B29" s="71" t="s">
        <v>80</v>
      </c>
      <c r="C29" s="71" t="s">
        <v>81</v>
      </c>
      <c r="D29" s="72">
        <v>4</v>
      </c>
      <c r="E29" s="73">
        <v>3319</v>
      </c>
      <c r="F29" s="74" t="s">
        <v>82</v>
      </c>
      <c r="G29" s="88" t="s">
        <v>196</v>
      </c>
      <c r="H29" s="68"/>
      <c r="I29" s="68"/>
      <c r="J29" s="68"/>
      <c r="K29" s="68"/>
    </row>
    <row r="30" spans="1:11" ht="18" customHeight="1" x14ac:dyDescent="0.3">
      <c r="A30" s="81" t="s">
        <v>129</v>
      </c>
      <c r="B30" s="64" t="s">
        <v>92</v>
      </c>
      <c r="C30" s="64" t="s">
        <v>93</v>
      </c>
      <c r="D30" s="65">
        <v>1</v>
      </c>
      <c r="E30" s="66">
        <v>3316</v>
      </c>
      <c r="F30" s="67" t="s">
        <v>94</v>
      </c>
      <c r="G30" s="89" t="s">
        <v>197</v>
      </c>
      <c r="H30" s="68"/>
      <c r="I30" s="68"/>
      <c r="J30" s="68"/>
      <c r="K30" s="68"/>
    </row>
    <row r="31" spans="1:11" ht="18" customHeight="1" x14ac:dyDescent="0.3">
      <c r="A31" s="81" t="s">
        <v>130</v>
      </c>
      <c r="B31" s="71" t="s">
        <v>92</v>
      </c>
      <c r="C31" s="71" t="s">
        <v>93</v>
      </c>
      <c r="D31" s="72">
        <v>1</v>
      </c>
      <c r="E31" s="73">
        <v>3316</v>
      </c>
      <c r="F31" s="74" t="s">
        <v>94</v>
      </c>
      <c r="G31" s="89" t="s">
        <v>197</v>
      </c>
      <c r="H31" s="68"/>
      <c r="I31" s="68"/>
      <c r="J31" s="68"/>
      <c r="K31" s="68"/>
    </row>
    <row r="32" spans="1:11" ht="18" customHeight="1" x14ac:dyDescent="0.3">
      <c r="A32" s="81" t="s">
        <v>131</v>
      </c>
      <c r="B32" s="64" t="s">
        <v>97</v>
      </c>
      <c r="C32" s="64" t="s">
        <v>93</v>
      </c>
      <c r="D32" s="65">
        <v>7</v>
      </c>
      <c r="E32" s="66">
        <v>3006</v>
      </c>
      <c r="F32" s="67" t="s">
        <v>98</v>
      </c>
      <c r="G32" s="89" t="s">
        <v>198</v>
      </c>
      <c r="H32" s="68"/>
      <c r="I32" s="68"/>
      <c r="J32" s="68"/>
      <c r="K32" s="68"/>
    </row>
    <row r="33" spans="1:11" ht="18" customHeight="1" x14ac:dyDescent="0.3">
      <c r="A33" s="81" t="s">
        <v>132</v>
      </c>
      <c r="B33" s="71" t="s">
        <v>86</v>
      </c>
      <c r="C33" s="71" t="s">
        <v>81</v>
      </c>
      <c r="D33" s="72">
        <v>5</v>
      </c>
      <c r="E33" s="73">
        <v>3320</v>
      </c>
      <c r="F33" s="74" t="s">
        <v>87</v>
      </c>
      <c r="G33" s="89" t="s">
        <v>200</v>
      </c>
      <c r="H33" s="68"/>
      <c r="I33" s="68"/>
      <c r="J33" s="68"/>
      <c r="K33" s="68"/>
    </row>
    <row r="34" spans="1:11" ht="18" customHeight="1" x14ac:dyDescent="0.3">
      <c r="A34" s="81" t="s">
        <v>133</v>
      </c>
      <c r="B34" s="64" t="s">
        <v>213</v>
      </c>
      <c r="C34" s="64" t="s">
        <v>88</v>
      </c>
      <c r="D34" s="65">
        <v>6</v>
      </c>
      <c r="E34" s="66">
        <v>3321</v>
      </c>
      <c r="F34" s="67" t="s">
        <v>89</v>
      </c>
      <c r="G34" s="88" t="s">
        <v>214</v>
      </c>
      <c r="H34" s="68"/>
      <c r="I34" s="68"/>
      <c r="J34" s="68"/>
      <c r="K34" s="68"/>
    </row>
    <row r="35" spans="1:11" ht="18" customHeight="1" x14ac:dyDescent="0.3">
      <c r="A35" s="81" t="s">
        <v>134</v>
      </c>
      <c r="B35" s="71" t="s">
        <v>213</v>
      </c>
      <c r="C35" s="71" t="s">
        <v>88</v>
      </c>
      <c r="D35" s="72">
        <v>6</v>
      </c>
      <c r="E35" s="73">
        <v>3321</v>
      </c>
      <c r="F35" s="74" t="s">
        <v>89</v>
      </c>
      <c r="G35" s="88" t="s">
        <v>214</v>
      </c>
      <c r="H35" s="68"/>
      <c r="I35" s="68"/>
      <c r="J35" s="68"/>
      <c r="K35" s="68"/>
    </row>
    <row r="36" spans="1:11" ht="18" customHeight="1" x14ac:dyDescent="0.3">
      <c r="A36" s="81" t="s">
        <v>135</v>
      </c>
      <c r="B36" s="64" t="s">
        <v>213</v>
      </c>
      <c r="C36" s="64" t="s">
        <v>88</v>
      </c>
      <c r="D36" s="65">
        <v>6</v>
      </c>
      <c r="E36" s="66">
        <v>3321</v>
      </c>
      <c r="F36" s="67" t="s">
        <v>89</v>
      </c>
      <c r="G36" s="88" t="s">
        <v>214</v>
      </c>
      <c r="H36" s="68"/>
      <c r="I36" s="68"/>
      <c r="J36" s="68"/>
      <c r="K36" s="68"/>
    </row>
    <row r="37" spans="1:11" ht="18" customHeight="1" x14ac:dyDescent="0.3">
      <c r="A37" s="81" t="s">
        <v>136</v>
      </c>
      <c r="B37" s="71" t="s">
        <v>86</v>
      </c>
      <c r="C37" s="71" t="s">
        <v>81</v>
      </c>
      <c r="D37" s="72">
        <v>5</v>
      </c>
      <c r="E37" s="73">
        <v>3320</v>
      </c>
      <c r="F37" s="74" t="s">
        <v>87</v>
      </c>
      <c r="G37" s="89" t="s">
        <v>200</v>
      </c>
      <c r="H37" s="68"/>
      <c r="I37" s="68"/>
      <c r="J37" s="68"/>
      <c r="K37" s="68"/>
    </row>
    <row r="38" spans="1:11" ht="18" customHeight="1" x14ac:dyDescent="0.3">
      <c r="A38" s="81" t="s">
        <v>137</v>
      </c>
      <c r="B38" s="64" t="s">
        <v>97</v>
      </c>
      <c r="C38" s="64" t="s">
        <v>93</v>
      </c>
      <c r="D38" s="65">
        <v>7</v>
      </c>
      <c r="E38" s="66">
        <v>3006</v>
      </c>
      <c r="F38" s="67" t="s">
        <v>98</v>
      </c>
      <c r="G38" s="89" t="s">
        <v>198</v>
      </c>
      <c r="H38" s="68"/>
      <c r="I38" s="68"/>
      <c r="J38" s="68"/>
      <c r="K38" s="68"/>
    </row>
    <row r="39" spans="1:11" ht="18" customHeight="1" x14ac:dyDescent="0.3">
      <c r="A39" s="81" t="s">
        <v>138</v>
      </c>
      <c r="B39" s="71" t="s">
        <v>95</v>
      </c>
      <c r="C39" s="71" t="s">
        <v>88</v>
      </c>
      <c r="D39" s="72">
        <v>2</v>
      </c>
      <c r="E39" s="73">
        <v>3323</v>
      </c>
      <c r="F39" s="74" t="s">
        <v>96</v>
      </c>
      <c r="G39" s="89" t="s">
        <v>199</v>
      </c>
      <c r="H39" s="68"/>
      <c r="I39" s="68"/>
      <c r="J39" s="68"/>
      <c r="K39" s="68"/>
    </row>
    <row r="40" spans="1:11" ht="18" customHeight="1" x14ac:dyDescent="0.3">
      <c r="A40" s="81" t="s">
        <v>139</v>
      </c>
      <c r="B40" s="64" t="s">
        <v>95</v>
      </c>
      <c r="C40" s="64" t="s">
        <v>88</v>
      </c>
      <c r="D40" s="65">
        <v>2</v>
      </c>
      <c r="E40" s="66">
        <v>3323</v>
      </c>
      <c r="F40" s="67" t="s">
        <v>96</v>
      </c>
      <c r="G40" s="89" t="s">
        <v>199</v>
      </c>
      <c r="H40" s="68"/>
      <c r="I40" s="68"/>
      <c r="J40" s="68"/>
      <c r="K40" s="68"/>
    </row>
    <row r="41" spans="1:11" ht="18" customHeight="1" x14ac:dyDescent="0.3">
      <c r="A41" s="81" t="s">
        <v>140</v>
      </c>
      <c r="B41" s="71" t="s">
        <v>80</v>
      </c>
      <c r="C41" s="71" t="s">
        <v>81</v>
      </c>
      <c r="D41" s="72">
        <v>4</v>
      </c>
      <c r="E41" s="73">
        <v>3319</v>
      </c>
      <c r="F41" s="74" t="s">
        <v>82</v>
      </c>
      <c r="G41" s="88" t="s">
        <v>196</v>
      </c>
      <c r="H41" s="68"/>
      <c r="I41" s="68"/>
      <c r="J41" s="68"/>
      <c r="K41" s="68"/>
    </row>
    <row r="42" spans="1:11" ht="18" customHeight="1" x14ac:dyDescent="0.3">
      <c r="A42" s="81" t="s">
        <v>141</v>
      </c>
      <c r="B42" s="64" t="s">
        <v>80</v>
      </c>
      <c r="C42" s="64" t="s">
        <v>81</v>
      </c>
      <c r="D42" s="65">
        <v>4</v>
      </c>
      <c r="E42" s="66">
        <v>3319</v>
      </c>
      <c r="F42" s="67" t="s">
        <v>82</v>
      </c>
      <c r="G42" s="88" t="s">
        <v>196</v>
      </c>
      <c r="H42" s="68"/>
      <c r="I42" s="68"/>
      <c r="J42" s="68"/>
      <c r="K42" s="68"/>
    </row>
    <row r="43" spans="1:11" ht="18" customHeight="1" x14ac:dyDescent="0.3">
      <c r="A43" s="81" t="s">
        <v>142</v>
      </c>
      <c r="B43" s="71" t="s">
        <v>213</v>
      </c>
      <c r="C43" s="71" t="s">
        <v>88</v>
      </c>
      <c r="D43" s="72">
        <v>6</v>
      </c>
      <c r="E43" s="73">
        <v>3321</v>
      </c>
      <c r="F43" s="74" t="s">
        <v>89</v>
      </c>
      <c r="G43" s="88" t="s">
        <v>214</v>
      </c>
      <c r="H43" s="68"/>
      <c r="I43" s="68"/>
      <c r="J43" s="68"/>
      <c r="K43" s="68"/>
    </row>
    <row r="44" spans="1:11" ht="18" customHeight="1" x14ac:dyDescent="0.3">
      <c r="A44" s="81" t="s">
        <v>143</v>
      </c>
      <c r="B44" s="64" t="s">
        <v>95</v>
      </c>
      <c r="C44" s="64" t="s">
        <v>88</v>
      </c>
      <c r="D44" s="65">
        <v>2</v>
      </c>
      <c r="E44" s="66">
        <v>3323</v>
      </c>
      <c r="F44" s="67" t="s">
        <v>96</v>
      </c>
      <c r="G44" s="89" t="s">
        <v>199</v>
      </c>
      <c r="H44" s="68"/>
      <c r="I44" s="68"/>
      <c r="J44" s="68"/>
      <c r="K44" s="68"/>
    </row>
    <row r="45" spans="1:11" ht="18" customHeight="1" x14ac:dyDescent="0.3">
      <c r="A45" s="81" t="s">
        <v>144</v>
      </c>
      <c r="B45" s="71" t="s">
        <v>80</v>
      </c>
      <c r="C45" s="71" t="s">
        <v>81</v>
      </c>
      <c r="D45" s="72">
        <v>4</v>
      </c>
      <c r="E45" s="73">
        <v>3319</v>
      </c>
      <c r="F45" s="74" t="s">
        <v>82</v>
      </c>
      <c r="G45" s="88" t="s">
        <v>196</v>
      </c>
      <c r="H45" s="68"/>
      <c r="I45" s="68"/>
      <c r="J45" s="68"/>
      <c r="K45" s="68"/>
    </row>
    <row r="46" spans="1:11" ht="18" customHeight="1" x14ac:dyDescent="0.3">
      <c r="A46" s="81" t="s">
        <v>145</v>
      </c>
      <c r="B46" s="64" t="s">
        <v>80</v>
      </c>
      <c r="C46" s="64" t="s">
        <v>81</v>
      </c>
      <c r="D46" s="65">
        <v>4</v>
      </c>
      <c r="E46" s="66">
        <v>3319</v>
      </c>
      <c r="F46" s="67" t="s">
        <v>82</v>
      </c>
      <c r="G46" s="88" t="s">
        <v>196</v>
      </c>
      <c r="H46" s="68"/>
      <c r="I46" s="68"/>
      <c r="J46" s="68"/>
      <c r="K46" s="68"/>
    </row>
    <row r="47" spans="1:11" ht="18" customHeight="1" x14ac:dyDescent="0.3">
      <c r="A47" s="81" t="s">
        <v>146</v>
      </c>
      <c r="B47" s="71" t="s">
        <v>97</v>
      </c>
      <c r="C47" s="71" t="s">
        <v>93</v>
      </c>
      <c r="D47" s="72">
        <v>7</v>
      </c>
      <c r="E47" s="73">
        <v>3006</v>
      </c>
      <c r="F47" s="74" t="s">
        <v>98</v>
      </c>
      <c r="G47" s="89" t="s">
        <v>198</v>
      </c>
      <c r="H47" s="68"/>
      <c r="I47" s="68"/>
      <c r="J47" s="68"/>
      <c r="K47" s="68"/>
    </row>
    <row r="48" spans="1:11" ht="18" customHeight="1" x14ac:dyDescent="0.3">
      <c r="A48" s="81" t="s">
        <v>147</v>
      </c>
      <c r="B48" s="64" t="s">
        <v>95</v>
      </c>
      <c r="C48" s="64" t="s">
        <v>88</v>
      </c>
      <c r="D48" s="65">
        <v>2</v>
      </c>
      <c r="E48" s="66">
        <v>3323</v>
      </c>
      <c r="F48" s="67" t="s">
        <v>96</v>
      </c>
      <c r="G48" s="89" t="s">
        <v>199</v>
      </c>
      <c r="H48" s="68"/>
      <c r="I48" s="68"/>
      <c r="J48" s="68"/>
      <c r="K48" s="68"/>
    </row>
    <row r="49" spans="1:11" ht="18" customHeight="1" x14ac:dyDescent="0.3">
      <c r="A49" s="81" t="s">
        <v>148</v>
      </c>
      <c r="B49" s="71" t="s">
        <v>213</v>
      </c>
      <c r="C49" s="71" t="s">
        <v>88</v>
      </c>
      <c r="D49" s="72">
        <v>6</v>
      </c>
      <c r="E49" s="73">
        <v>3321</v>
      </c>
      <c r="F49" s="74" t="s">
        <v>89</v>
      </c>
      <c r="G49" s="88" t="s">
        <v>214</v>
      </c>
      <c r="H49" s="68"/>
      <c r="I49" s="68"/>
      <c r="J49" s="68"/>
      <c r="K49" s="68"/>
    </row>
    <row r="50" spans="1:11" ht="18" customHeight="1" x14ac:dyDescent="0.3">
      <c r="A50" s="81" t="s">
        <v>149</v>
      </c>
      <c r="B50" s="64" t="s">
        <v>213</v>
      </c>
      <c r="C50" s="64" t="s">
        <v>88</v>
      </c>
      <c r="D50" s="65">
        <v>6</v>
      </c>
      <c r="E50" s="66">
        <v>3321</v>
      </c>
      <c r="F50" s="67" t="s">
        <v>89</v>
      </c>
      <c r="G50" s="88" t="s">
        <v>214</v>
      </c>
      <c r="H50" s="68"/>
      <c r="I50" s="68"/>
      <c r="J50" s="68"/>
      <c r="K50" s="68"/>
    </row>
    <row r="51" spans="1:11" ht="18" customHeight="1" x14ac:dyDescent="0.3">
      <c r="A51" s="81" t="s">
        <v>150</v>
      </c>
      <c r="B51" s="71" t="s">
        <v>86</v>
      </c>
      <c r="C51" s="71" t="s">
        <v>81</v>
      </c>
      <c r="D51" s="72">
        <v>5</v>
      </c>
      <c r="E51" s="73">
        <v>3320</v>
      </c>
      <c r="F51" s="74" t="s">
        <v>87</v>
      </c>
      <c r="G51" s="89" t="s">
        <v>200</v>
      </c>
      <c r="H51" s="68"/>
      <c r="I51" s="68"/>
      <c r="J51" s="68"/>
      <c r="K51" s="68"/>
    </row>
    <row r="52" spans="1:11" ht="18" customHeight="1" x14ac:dyDescent="0.3">
      <c r="A52" s="81" t="s">
        <v>151</v>
      </c>
      <c r="B52" s="64" t="s">
        <v>97</v>
      </c>
      <c r="C52" s="64" t="s">
        <v>93</v>
      </c>
      <c r="D52" s="65">
        <v>7</v>
      </c>
      <c r="E52" s="66">
        <v>3006</v>
      </c>
      <c r="F52" s="67" t="s">
        <v>98</v>
      </c>
      <c r="G52" s="89" t="s">
        <v>198</v>
      </c>
      <c r="H52" s="68"/>
      <c r="I52" s="68"/>
      <c r="J52" s="68"/>
      <c r="K52" s="68"/>
    </row>
    <row r="53" spans="1:11" ht="18" customHeight="1" x14ac:dyDescent="0.3">
      <c r="A53" s="81" t="s">
        <v>152</v>
      </c>
      <c r="B53" s="71" t="s">
        <v>92</v>
      </c>
      <c r="C53" s="71" t="s">
        <v>93</v>
      </c>
      <c r="D53" s="72">
        <v>1</v>
      </c>
      <c r="E53" s="73">
        <v>3316</v>
      </c>
      <c r="F53" s="74" t="s">
        <v>94</v>
      </c>
      <c r="G53" s="89" t="s">
        <v>197</v>
      </c>
      <c r="H53" s="68"/>
      <c r="I53" s="68"/>
      <c r="J53" s="68"/>
      <c r="K53" s="68"/>
    </row>
    <row r="54" spans="1:11" ht="18" customHeight="1" x14ac:dyDescent="0.3">
      <c r="A54" s="81" t="s">
        <v>153</v>
      </c>
      <c r="B54" s="64" t="s">
        <v>83</v>
      </c>
      <c r="C54" s="64" t="s">
        <v>84</v>
      </c>
      <c r="D54" s="65">
        <v>9</v>
      </c>
      <c r="E54" s="66">
        <v>3188</v>
      </c>
      <c r="F54" s="67" t="s">
        <v>85</v>
      </c>
      <c r="G54" s="89" t="s">
        <v>203</v>
      </c>
      <c r="H54" s="68"/>
      <c r="I54" s="68"/>
      <c r="J54" s="68"/>
      <c r="K54" s="68"/>
    </row>
    <row r="55" spans="1:11" ht="18" customHeight="1" x14ac:dyDescent="0.3">
      <c r="A55" s="81" t="s">
        <v>154</v>
      </c>
      <c r="B55" s="71" t="s">
        <v>90</v>
      </c>
      <c r="C55" s="71" t="s">
        <v>84</v>
      </c>
      <c r="D55" s="72">
        <v>3</v>
      </c>
      <c r="E55" s="73">
        <v>3002</v>
      </c>
      <c r="F55" s="74" t="s">
        <v>91</v>
      </c>
      <c r="G55" s="89" t="s">
        <v>201</v>
      </c>
      <c r="H55" s="68"/>
      <c r="I55" s="68"/>
      <c r="J55" s="68"/>
      <c r="K55" s="68"/>
    </row>
    <row r="56" spans="1:11" ht="18" customHeight="1" x14ac:dyDescent="0.3">
      <c r="A56" s="81" t="s">
        <v>155</v>
      </c>
      <c r="B56" s="64" t="s">
        <v>97</v>
      </c>
      <c r="C56" s="64" t="s">
        <v>93</v>
      </c>
      <c r="D56" s="65">
        <v>7</v>
      </c>
      <c r="E56" s="66">
        <v>3006</v>
      </c>
      <c r="F56" s="67" t="s">
        <v>98</v>
      </c>
      <c r="G56" s="89" t="s">
        <v>198</v>
      </c>
      <c r="H56" s="68"/>
      <c r="I56" s="68"/>
      <c r="J56" s="68"/>
      <c r="K56" s="68"/>
    </row>
    <row r="57" spans="1:11" ht="18" customHeight="1" x14ac:dyDescent="0.3">
      <c r="A57" s="81" t="s">
        <v>156</v>
      </c>
      <c r="B57" s="71" t="s">
        <v>90</v>
      </c>
      <c r="C57" s="71" t="s">
        <v>84</v>
      </c>
      <c r="D57" s="72">
        <v>3</v>
      </c>
      <c r="E57" s="73">
        <v>3002</v>
      </c>
      <c r="F57" s="74" t="s">
        <v>91</v>
      </c>
      <c r="G57" s="89" t="s">
        <v>201</v>
      </c>
      <c r="H57" s="68"/>
      <c r="I57" s="68"/>
      <c r="J57" s="68"/>
      <c r="K57" s="68"/>
    </row>
    <row r="58" spans="1:11" ht="18" customHeight="1" x14ac:dyDescent="0.3">
      <c r="A58" s="81" t="s">
        <v>157</v>
      </c>
      <c r="B58" s="64" t="s">
        <v>90</v>
      </c>
      <c r="C58" s="64" t="s">
        <v>84</v>
      </c>
      <c r="D58" s="65">
        <v>3</v>
      </c>
      <c r="E58" s="66">
        <v>3002</v>
      </c>
      <c r="F58" s="67" t="s">
        <v>91</v>
      </c>
      <c r="G58" s="89" t="s">
        <v>201</v>
      </c>
      <c r="H58" s="68"/>
      <c r="I58" s="68"/>
      <c r="J58" s="68"/>
      <c r="K58" s="68"/>
    </row>
    <row r="59" spans="1:11" ht="18" customHeight="1" x14ac:dyDescent="0.3">
      <c r="A59" s="81" t="s">
        <v>158</v>
      </c>
      <c r="B59" s="71" t="s">
        <v>97</v>
      </c>
      <c r="C59" s="71" t="s">
        <v>93</v>
      </c>
      <c r="D59" s="72">
        <v>7</v>
      </c>
      <c r="E59" s="73">
        <v>3006</v>
      </c>
      <c r="F59" s="74" t="s">
        <v>98</v>
      </c>
      <c r="G59" s="89" t="s">
        <v>198</v>
      </c>
      <c r="H59" s="68"/>
      <c r="I59" s="68"/>
      <c r="J59" s="68"/>
      <c r="K59" s="68"/>
    </row>
    <row r="60" spans="1:11" ht="18" customHeight="1" x14ac:dyDescent="0.3">
      <c r="A60" s="81" t="s">
        <v>159</v>
      </c>
      <c r="B60" s="64" t="s">
        <v>90</v>
      </c>
      <c r="C60" s="64" t="s">
        <v>84</v>
      </c>
      <c r="D60" s="65">
        <v>3</v>
      </c>
      <c r="E60" s="66">
        <v>3002</v>
      </c>
      <c r="F60" s="67" t="s">
        <v>91</v>
      </c>
      <c r="G60" s="89" t="s">
        <v>201</v>
      </c>
      <c r="H60" s="68"/>
      <c r="I60" s="68"/>
      <c r="J60" s="68"/>
      <c r="K60" s="68"/>
    </row>
    <row r="61" spans="1:11" ht="18" customHeight="1" x14ac:dyDescent="0.3">
      <c r="A61" s="81" t="s">
        <v>160</v>
      </c>
      <c r="B61" s="71" t="s">
        <v>95</v>
      </c>
      <c r="C61" s="71" t="s">
        <v>88</v>
      </c>
      <c r="D61" s="72">
        <v>2</v>
      </c>
      <c r="E61" s="73">
        <v>3323</v>
      </c>
      <c r="F61" s="74" t="s">
        <v>96</v>
      </c>
      <c r="G61" s="89" t="s">
        <v>199</v>
      </c>
      <c r="H61" s="68"/>
      <c r="I61" s="68"/>
      <c r="J61" s="68"/>
      <c r="K61" s="68"/>
    </row>
    <row r="62" spans="1:11" ht="18" customHeight="1" x14ac:dyDescent="0.3">
      <c r="A62" s="81" t="s">
        <v>161</v>
      </c>
      <c r="B62" s="64" t="s">
        <v>83</v>
      </c>
      <c r="C62" s="64" t="s">
        <v>84</v>
      </c>
      <c r="D62" s="65">
        <v>9</v>
      </c>
      <c r="E62" s="66">
        <v>3188</v>
      </c>
      <c r="F62" s="67" t="s">
        <v>85</v>
      </c>
      <c r="G62" s="89" t="s">
        <v>203</v>
      </c>
      <c r="H62" s="68"/>
      <c r="I62" s="68"/>
      <c r="J62" s="68"/>
      <c r="K62" s="68"/>
    </row>
    <row r="63" spans="1:11" ht="18" customHeight="1" x14ac:dyDescent="0.3">
      <c r="A63" s="81" t="s">
        <v>162</v>
      </c>
      <c r="B63" s="71" t="s">
        <v>83</v>
      </c>
      <c r="C63" s="71" t="s">
        <v>84</v>
      </c>
      <c r="D63" s="72">
        <v>9</v>
      </c>
      <c r="E63" s="73">
        <v>3188</v>
      </c>
      <c r="F63" s="74" t="s">
        <v>85</v>
      </c>
      <c r="G63" s="89" t="s">
        <v>203</v>
      </c>
      <c r="H63" s="68"/>
      <c r="I63" s="68"/>
      <c r="J63" s="68"/>
      <c r="K63" s="68"/>
    </row>
    <row r="64" spans="1:11" ht="18" customHeight="1" x14ac:dyDescent="0.3">
      <c r="A64" s="81" t="s">
        <v>163</v>
      </c>
      <c r="B64" s="64" t="s">
        <v>92</v>
      </c>
      <c r="C64" s="64" t="s">
        <v>93</v>
      </c>
      <c r="D64" s="65">
        <v>1</v>
      </c>
      <c r="E64" s="66">
        <v>3316</v>
      </c>
      <c r="F64" s="67" t="s">
        <v>94</v>
      </c>
      <c r="G64" s="89" t="s">
        <v>197</v>
      </c>
      <c r="H64" s="68"/>
      <c r="I64" s="68"/>
      <c r="J64" s="68"/>
      <c r="K64" s="68"/>
    </row>
    <row r="65" spans="1:11" ht="18" customHeight="1" x14ac:dyDescent="0.3">
      <c r="A65" s="81" t="s">
        <v>164</v>
      </c>
      <c r="B65" s="71" t="s">
        <v>83</v>
      </c>
      <c r="C65" s="71" t="s">
        <v>84</v>
      </c>
      <c r="D65" s="72">
        <v>9</v>
      </c>
      <c r="E65" s="73">
        <v>3188</v>
      </c>
      <c r="F65" s="74" t="s">
        <v>85</v>
      </c>
      <c r="G65" s="89" t="s">
        <v>203</v>
      </c>
      <c r="H65" s="68"/>
      <c r="I65" s="68"/>
      <c r="J65" s="68"/>
      <c r="K65" s="68"/>
    </row>
    <row r="66" spans="1:11" ht="18" customHeight="1" x14ac:dyDescent="0.3">
      <c r="A66" s="81" t="s">
        <v>165</v>
      </c>
      <c r="B66" s="64" t="s">
        <v>80</v>
      </c>
      <c r="C66" s="64" t="s">
        <v>81</v>
      </c>
      <c r="D66" s="65">
        <v>4</v>
      </c>
      <c r="E66" s="66">
        <v>3319</v>
      </c>
      <c r="F66" s="67" t="s">
        <v>82</v>
      </c>
      <c r="G66" s="88" t="s">
        <v>196</v>
      </c>
      <c r="H66" s="68"/>
      <c r="I66" s="68"/>
      <c r="J66" s="68"/>
      <c r="K66" s="68"/>
    </row>
    <row r="67" spans="1:11" ht="18" customHeight="1" x14ac:dyDescent="0.3">
      <c r="A67" s="81" t="s">
        <v>166</v>
      </c>
      <c r="B67" s="71" t="s">
        <v>213</v>
      </c>
      <c r="C67" s="71" t="s">
        <v>88</v>
      </c>
      <c r="D67" s="72">
        <v>6</v>
      </c>
      <c r="E67" s="73">
        <v>3321</v>
      </c>
      <c r="F67" s="74" t="s">
        <v>89</v>
      </c>
      <c r="G67" s="88" t="s">
        <v>214</v>
      </c>
      <c r="H67" s="68"/>
      <c r="I67" s="68"/>
      <c r="J67" s="68"/>
      <c r="K67" s="68"/>
    </row>
    <row r="68" spans="1:11" ht="18" customHeight="1" x14ac:dyDescent="0.3">
      <c r="A68" s="81" t="s">
        <v>167</v>
      </c>
      <c r="B68" s="64" t="s">
        <v>213</v>
      </c>
      <c r="C68" s="64" t="s">
        <v>88</v>
      </c>
      <c r="D68" s="65">
        <v>6</v>
      </c>
      <c r="E68" s="66">
        <v>3321</v>
      </c>
      <c r="F68" s="67" t="s">
        <v>89</v>
      </c>
      <c r="G68" s="88" t="s">
        <v>214</v>
      </c>
      <c r="H68" s="68"/>
      <c r="I68" s="68"/>
      <c r="J68" s="68"/>
      <c r="K68" s="68"/>
    </row>
    <row r="69" spans="1:11" ht="18" customHeight="1" x14ac:dyDescent="0.3">
      <c r="A69" s="81" t="s">
        <v>168</v>
      </c>
      <c r="B69" s="71" t="s">
        <v>86</v>
      </c>
      <c r="C69" s="71" t="s">
        <v>81</v>
      </c>
      <c r="D69" s="72">
        <v>5</v>
      </c>
      <c r="E69" s="73">
        <v>3320</v>
      </c>
      <c r="F69" s="74" t="s">
        <v>87</v>
      </c>
      <c r="G69" s="89" t="s">
        <v>200</v>
      </c>
      <c r="H69" s="68"/>
      <c r="I69" s="68"/>
      <c r="J69" s="68"/>
      <c r="K69" s="68"/>
    </row>
    <row r="70" spans="1:11" ht="18" customHeight="1" x14ac:dyDescent="0.3">
      <c r="A70" s="81" t="s">
        <v>169</v>
      </c>
      <c r="B70" s="64" t="s">
        <v>90</v>
      </c>
      <c r="C70" s="64" t="s">
        <v>84</v>
      </c>
      <c r="D70" s="65">
        <v>3</v>
      </c>
      <c r="E70" s="66">
        <v>3002</v>
      </c>
      <c r="F70" s="67" t="s">
        <v>91</v>
      </c>
      <c r="G70" s="89" t="s">
        <v>201</v>
      </c>
      <c r="H70" s="68"/>
      <c r="I70" s="68"/>
      <c r="J70" s="68"/>
      <c r="K70" s="68"/>
    </row>
    <row r="71" spans="1:11" ht="18" customHeight="1" x14ac:dyDescent="0.3">
      <c r="A71" s="81" t="s">
        <v>170</v>
      </c>
      <c r="B71" s="71" t="s">
        <v>90</v>
      </c>
      <c r="C71" s="71" t="s">
        <v>84</v>
      </c>
      <c r="D71" s="72">
        <v>3</v>
      </c>
      <c r="E71" s="73">
        <v>3002</v>
      </c>
      <c r="F71" s="74" t="s">
        <v>91</v>
      </c>
      <c r="G71" s="89" t="s">
        <v>201</v>
      </c>
      <c r="H71" s="68"/>
      <c r="I71" s="68"/>
      <c r="J71" s="68"/>
      <c r="K71" s="68"/>
    </row>
    <row r="72" spans="1:11" ht="18" customHeight="1" x14ac:dyDescent="0.3">
      <c r="A72" s="81" t="s">
        <v>111</v>
      </c>
      <c r="B72" s="64" t="s">
        <v>80</v>
      </c>
      <c r="C72" s="64" t="s">
        <v>81</v>
      </c>
      <c r="D72" s="65">
        <v>4</v>
      </c>
      <c r="E72" s="66">
        <v>3319</v>
      </c>
      <c r="F72" s="67" t="s">
        <v>82</v>
      </c>
      <c r="G72" s="88" t="s">
        <v>196</v>
      </c>
      <c r="H72" s="68"/>
      <c r="I72" s="68"/>
      <c r="J72" s="68"/>
      <c r="K72" s="68"/>
    </row>
    <row r="73" spans="1:11" ht="18" customHeight="1" x14ac:dyDescent="0.3">
      <c r="A73" s="81" t="s">
        <v>171</v>
      </c>
      <c r="B73" s="71" t="s">
        <v>90</v>
      </c>
      <c r="C73" s="71" t="s">
        <v>84</v>
      </c>
      <c r="D73" s="72">
        <v>3</v>
      </c>
      <c r="E73" s="73">
        <v>3002</v>
      </c>
      <c r="F73" s="74" t="s">
        <v>91</v>
      </c>
      <c r="G73" s="89" t="s">
        <v>201</v>
      </c>
      <c r="H73" s="68"/>
      <c r="I73" s="68"/>
      <c r="J73" s="68"/>
      <c r="K73" s="68"/>
    </row>
    <row r="74" spans="1:11" ht="18" customHeight="1" x14ac:dyDescent="0.3">
      <c r="A74" s="81" t="s">
        <v>172</v>
      </c>
      <c r="B74" s="64" t="s">
        <v>80</v>
      </c>
      <c r="C74" s="64" t="s">
        <v>81</v>
      </c>
      <c r="D74" s="65">
        <v>4</v>
      </c>
      <c r="E74" s="66">
        <v>3319</v>
      </c>
      <c r="F74" s="67" t="s">
        <v>82</v>
      </c>
      <c r="G74" s="88" t="s">
        <v>196</v>
      </c>
      <c r="H74" s="68"/>
      <c r="I74" s="68"/>
      <c r="J74" s="68"/>
      <c r="K74" s="68"/>
    </row>
    <row r="75" spans="1:11" ht="18" customHeight="1" x14ac:dyDescent="0.3">
      <c r="A75" s="81" t="s">
        <v>173</v>
      </c>
      <c r="B75" s="71" t="s">
        <v>97</v>
      </c>
      <c r="C75" s="71" t="s">
        <v>93</v>
      </c>
      <c r="D75" s="72">
        <v>7</v>
      </c>
      <c r="E75" s="73">
        <v>3006</v>
      </c>
      <c r="F75" s="74" t="s">
        <v>98</v>
      </c>
      <c r="G75" s="89" t="s">
        <v>198</v>
      </c>
      <c r="H75" s="68"/>
      <c r="I75" s="68"/>
      <c r="J75" s="68"/>
      <c r="K75" s="68"/>
    </row>
    <row r="76" spans="1:11" ht="18" customHeight="1" x14ac:dyDescent="0.3">
      <c r="A76" s="81" t="s">
        <v>174</v>
      </c>
      <c r="B76" s="64" t="s">
        <v>80</v>
      </c>
      <c r="C76" s="64" t="s">
        <v>81</v>
      </c>
      <c r="D76" s="65">
        <v>4</v>
      </c>
      <c r="E76" s="66">
        <v>3319</v>
      </c>
      <c r="F76" s="67" t="s">
        <v>82</v>
      </c>
      <c r="G76" s="88" t="s">
        <v>196</v>
      </c>
      <c r="H76" s="68"/>
      <c r="I76" s="68"/>
      <c r="J76" s="68"/>
      <c r="K76" s="68"/>
    </row>
    <row r="77" spans="1:11" ht="18" customHeight="1" x14ac:dyDescent="0.3">
      <c r="A77" s="81" t="s">
        <v>175</v>
      </c>
      <c r="B77" s="71" t="s">
        <v>80</v>
      </c>
      <c r="C77" s="71" t="s">
        <v>81</v>
      </c>
      <c r="D77" s="72">
        <v>4</v>
      </c>
      <c r="E77" s="73">
        <v>3319</v>
      </c>
      <c r="F77" s="74" t="s">
        <v>82</v>
      </c>
      <c r="G77" s="88" t="s">
        <v>196</v>
      </c>
      <c r="H77" s="68"/>
      <c r="I77" s="68"/>
      <c r="J77" s="68"/>
      <c r="K77" s="68"/>
    </row>
    <row r="78" spans="1:11" ht="18" customHeight="1" x14ac:dyDescent="0.3">
      <c r="A78" s="81"/>
      <c r="B78" s="64"/>
      <c r="C78" s="64"/>
      <c r="D78" s="65"/>
      <c r="E78" s="66"/>
      <c r="F78" s="67"/>
      <c r="G78" s="88"/>
      <c r="H78" s="68"/>
      <c r="I78" s="68"/>
      <c r="J78" s="68"/>
      <c r="K78" s="68"/>
    </row>
    <row r="79" spans="1:11" ht="18" customHeight="1" x14ac:dyDescent="0.3">
      <c r="A79" s="81"/>
      <c r="B79" s="75"/>
      <c r="C79" s="64"/>
      <c r="D79" s="65"/>
      <c r="E79" s="66"/>
      <c r="F79" s="67"/>
      <c r="G79" s="87"/>
      <c r="H79" s="68"/>
      <c r="I79" s="90"/>
      <c r="J79" s="68"/>
      <c r="K79" s="68"/>
    </row>
    <row r="80" spans="1:11" ht="18" customHeight="1" x14ac:dyDescent="0.3">
      <c r="A80" s="81"/>
      <c r="B80" s="76"/>
      <c r="C80" s="64"/>
      <c r="D80" s="65"/>
      <c r="E80" s="66"/>
      <c r="F80" s="67"/>
      <c r="G80" s="87"/>
      <c r="H80" s="68"/>
      <c r="I80" s="68"/>
      <c r="J80" s="68"/>
      <c r="K80" s="68"/>
    </row>
    <row r="81" spans="1:11" ht="18" customHeight="1" x14ac:dyDescent="0.3">
      <c r="A81" s="82" t="s">
        <v>176</v>
      </c>
      <c r="B81" s="71" t="s">
        <v>92</v>
      </c>
      <c r="C81" s="71" t="s">
        <v>93</v>
      </c>
      <c r="D81" s="72">
        <v>1</v>
      </c>
      <c r="E81" s="73">
        <v>3316</v>
      </c>
      <c r="F81" s="74" t="s">
        <v>94</v>
      </c>
      <c r="G81" s="89" t="s">
        <v>197</v>
      </c>
      <c r="H81" s="68"/>
      <c r="I81" s="68"/>
      <c r="J81" s="68"/>
      <c r="K81" s="68"/>
    </row>
    <row r="82" spans="1:11" ht="18" customHeight="1" x14ac:dyDescent="0.3">
      <c r="A82" s="81" t="s">
        <v>177</v>
      </c>
      <c r="B82" s="64" t="s">
        <v>95</v>
      </c>
      <c r="C82" s="64" t="s">
        <v>88</v>
      </c>
      <c r="D82" s="65">
        <v>2</v>
      </c>
      <c r="E82" s="66">
        <v>3323</v>
      </c>
      <c r="F82" s="67" t="s">
        <v>96</v>
      </c>
      <c r="G82" s="89" t="s">
        <v>199</v>
      </c>
      <c r="H82" s="68"/>
      <c r="I82" s="68"/>
      <c r="J82" s="68"/>
      <c r="K82" s="68"/>
    </row>
    <row r="83" spans="1:11" ht="18" customHeight="1" x14ac:dyDescent="0.3">
      <c r="A83" s="82" t="s">
        <v>178</v>
      </c>
      <c r="B83" s="71" t="s">
        <v>92</v>
      </c>
      <c r="C83" s="71" t="s">
        <v>93</v>
      </c>
      <c r="D83" s="72">
        <v>1</v>
      </c>
      <c r="E83" s="73">
        <v>3316</v>
      </c>
      <c r="F83" s="74" t="s">
        <v>94</v>
      </c>
      <c r="G83" s="89" t="s">
        <v>197</v>
      </c>
      <c r="H83" s="68"/>
      <c r="I83" s="68"/>
      <c r="J83" s="68"/>
      <c r="K83" s="68"/>
    </row>
    <row r="84" spans="1:11" ht="18" customHeight="1" x14ac:dyDescent="0.3">
      <c r="A84" s="82" t="s">
        <v>179</v>
      </c>
      <c r="B84" s="64" t="s">
        <v>97</v>
      </c>
      <c r="C84" s="64" t="s">
        <v>93</v>
      </c>
      <c r="D84" s="65">
        <v>7</v>
      </c>
      <c r="E84" s="66">
        <v>3006</v>
      </c>
      <c r="F84" s="67" t="s">
        <v>98</v>
      </c>
      <c r="G84" s="89" t="s">
        <v>198</v>
      </c>
      <c r="H84" s="68"/>
      <c r="I84" s="68"/>
      <c r="J84" s="68"/>
      <c r="K84" s="68"/>
    </row>
    <row r="85" spans="1:11" ht="18" customHeight="1" x14ac:dyDescent="0.3">
      <c r="A85" s="81" t="s">
        <v>180</v>
      </c>
      <c r="B85" s="71" t="s">
        <v>83</v>
      </c>
      <c r="C85" s="71" t="s">
        <v>84</v>
      </c>
      <c r="D85" s="72">
        <v>9</v>
      </c>
      <c r="E85" s="73">
        <v>3188</v>
      </c>
      <c r="F85" s="74" t="s">
        <v>85</v>
      </c>
      <c r="G85" s="89" t="s">
        <v>203</v>
      </c>
      <c r="H85" s="68"/>
      <c r="I85" s="68"/>
      <c r="J85" s="68"/>
      <c r="K85" s="68"/>
    </row>
    <row r="86" spans="1:11" ht="18" customHeight="1" x14ac:dyDescent="0.3">
      <c r="A86" s="82" t="s">
        <v>181</v>
      </c>
      <c r="B86" s="64" t="s">
        <v>213</v>
      </c>
      <c r="C86" s="64" t="s">
        <v>88</v>
      </c>
      <c r="D86" s="65">
        <v>6</v>
      </c>
      <c r="E86" s="66">
        <v>3321</v>
      </c>
      <c r="F86" s="67" t="s">
        <v>89</v>
      </c>
      <c r="G86" s="88" t="s">
        <v>214</v>
      </c>
      <c r="H86" s="68"/>
      <c r="I86" s="68"/>
      <c r="J86" s="68"/>
      <c r="K86" s="68"/>
    </row>
    <row r="87" spans="1:11" ht="18" customHeight="1" x14ac:dyDescent="0.3">
      <c r="A87" s="82" t="s">
        <v>182</v>
      </c>
      <c r="B87" s="71" t="s">
        <v>213</v>
      </c>
      <c r="C87" s="71" t="s">
        <v>88</v>
      </c>
      <c r="D87" s="72">
        <v>6</v>
      </c>
      <c r="E87" s="73">
        <v>3321</v>
      </c>
      <c r="F87" s="74" t="s">
        <v>89</v>
      </c>
      <c r="G87" s="88" t="s">
        <v>214</v>
      </c>
      <c r="H87" s="68"/>
      <c r="I87" s="68"/>
      <c r="J87" s="68"/>
      <c r="K87" s="68"/>
    </row>
    <row r="88" spans="1:11" ht="18" customHeight="1" x14ac:dyDescent="0.3">
      <c r="A88" s="81" t="s">
        <v>183</v>
      </c>
      <c r="B88" s="64" t="s">
        <v>86</v>
      </c>
      <c r="C88" s="64" t="s">
        <v>81</v>
      </c>
      <c r="D88" s="65">
        <v>5</v>
      </c>
      <c r="E88" s="66">
        <v>3320</v>
      </c>
      <c r="F88" s="67" t="s">
        <v>87</v>
      </c>
      <c r="G88" s="89" t="s">
        <v>200</v>
      </c>
      <c r="H88" s="68"/>
      <c r="I88" s="68"/>
      <c r="J88" s="68"/>
      <c r="K88" s="68"/>
    </row>
    <row r="89" spans="1:11" ht="18" customHeight="1" x14ac:dyDescent="0.3">
      <c r="A89" s="82" t="s">
        <v>184</v>
      </c>
      <c r="B89" s="71" t="s">
        <v>86</v>
      </c>
      <c r="C89" s="71" t="s">
        <v>81</v>
      </c>
      <c r="D89" s="72">
        <v>5</v>
      </c>
      <c r="E89" s="73">
        <v>3320</v>
      </c>
      <c r="F89" s="74" t="s">
        <v>87</v>
      </c>
      <c r="G89" s="89" t="s">
        <v>200</v>
      </c>
      <c r="H89" s="68"/>
      <c r="I89" s="68"/>
      <c r="J89" s="68"/>
      <c r="K89" s="68"/>
    </row>
    <row r="90" spans="1:11" ht="18" customHeight="1" x14ac:dyDescent="0.3">
      <c r="A90" s="82" t="s">
        <v>185</v>
      </c>
      <c r="B90" s="64" t="s">
        <v>97</v>
      </c>
      <c r="C90" s="64" t="s">
        <v>93</v>
      </c>
      <c r="D90" s="65">
        <v>7</v>
      </c>
      <c r="E90" s="66">
        <v>3006</v>
      </c>
      <c r="F90" s="67" t="s">
        <v>98</v>
      </c>
      <c r="G90" s="89" t="s">
        <v>198</v>
      </c>
      <c r="H90" s="68"/>
      <c r="I90" s="68"/>
      <c r="J90" s="68"/>
      <c r="K90" s="68"/>
    </row>
    <row r="91" spans="1:11" ht="18" customHeight="1" x14ac:dyDescent="0.3">
      <c r="A91" s="81" t="s">
        <v>186</v>
      </c>
      <c r="B91" s="71" t="s">
        <v>97</v>
      </c>
      <c r="C91" s="71" t="s">
        <v>93</v>
      </c>
      <c r="D91" s="72">
        <v>7</v>
      </c>
      <c r="E91" s="73">
        <v>3006</v>
      </c>
      <c r="F91" s="74" t="s">
        <v>98</v>
      </c>
      <c r="G91" s="89" t="s">
        <v>198</v>
      </c>
      <c r="H91" s="68"/>
      <c r="I91" s="68"/>
      <c r="J91" s="68"/>
      <c r="K91" s="68"/>
    </row>
    <row r="92" spans="1:11" ht="18" customHeight="1" x14ac:dyDescent="0.3">
      <c r="A92" s="82" t="s">
        <v>187</v>
      </c>
      <c r="B92" s="64" t="s">
        <v>213</v>
      </c>
      <c r="C92" s="64" t="s">
        <v>88</v>
      </c>
      <c r="D92" s="65">
        <v>6</v>
      </c>
      <c r="E92" s="66">
        <v>3321</v>
      </c>
      <c r="F92" s="67" t="s">
        <v>89</v>
      </c>
      <c r="G92" s="88" t="s">
        <v>214</v>
      </c>
      <c r="H92" s="68"/>
      <c r="I92" s="68"/>
      <c r="J92" s="68"/>
      <c r="K92" s="68"/>
    </row>
    <row r="93" spans="1:11" ht="18" customHeight="1" x14ac:dyDescent="0.3">
      <c r="A93" s="82" t="s">
        <v>188</v>
      </c>
      <c r="B93" s="71" t="s">
        <v>90</v>
      </c>
      <c r="C93" s="71" t="s">
        <v>84</v>
      </c>
      <c r="D93" s="72">
        <v>3</v>
      </c>
      <c r="E93" s="73">
        <v>3002</v>
      </c>
      <c r="F93" s="74" t="s">
        <v>91</v>
      </c>
      <c r="G93" s="89" t="s">
        <v>201</v>
      </c>
      <c r="H93" s="68"/>
      <c r="I93" s="68"/>
      <c r="J93" s="68"/>
      <c r="K93" s="68"/>
    </row>
    <row r="94" spans="1:11" ht="18" customHeight="1" x14ac:dyDescent="0.3">
      <c r="A94" s="81" t="s">
        <v>189</v>
      </c>
      <c r="B94" s="64" t="s">
        <v>95</v>
      </c>
      <c r="C94" s="64" t="s">
        <v>88</v>
      </c>
      <c r="D94" s="65">
        <v>2</v>
      </c>
      <c r="E94" s="66">
        <v>3323</v>
      </c>
      <c r="F94" s="67" t="s">
        <v>96</v>
      </c>
      <c r="G94" s="89" t="s">
        <v>199</v>
      </c>
      <c r="H94" s="68"/>
      <c r="I94" s="68"/>
      <c r="J94" s="68"/>
      <c r="K94" s="68"/>
    </row>
    <row r="95" spans="1:11" ht="18" customHeight="1" x14ac:dyDescent="0.3">
      <c r="A95" s="82" t="s">
        <v>190</v>
      </c>
      <c r="B95" s="71" t="s">
        <v>90</v>
      </c>
      <c r="C95" s="71" t="s">
        <v>84</v>
      </c>
      <c r="D95" s="72">
        <v>3</v>
      </c>
      <c r="E95" s="73">
        <v>3002</v>
      </c>
      <c r="F95" s="74" t="s">
        <v>91</v>
      </c>
      <c r="G95" s="89" t="s">
        <v>201</v>
      </c>
      <c r="H95" s="68"/>
      <c r="I95" s="68"/>
      <c r="J95" s="68"/>
      <c r="K95" s="68"/>
    </row>
    <row r="96" spans="1:11" ht="18" customHeight="1" x14ac:dyDescent="0.3">
      <c r="A96" s="82" t="s">
        <v>191</v>
      </c>
      <c r="B96" s="64" t="s">
        <v>95</v>
      </c>
      <c r="C96" s="64" t="s">
        <v>88</v>
      </c>
      <c r="D96" s="65">
        <v>2</v>
      </c>
      <c r="E96" s="66">
        <v>3323</v>
      </c>
      <c r="F96" s="67" t="s">
        <v>96</v>
      </c>
      <c r="G96" s="89" t="s">
        <v>199</v>
      </c>
      <c r="H96" s="68"/>
      <c r="I96" s="68"/>
      <c r="J96" s="68"/>
      <c r="K96" s="68"/>
    </row>
    <row r="97" spans="1:11" ht="18" customHeight="1" x14ac:dyDescent="0.3">
      <c r="A97" s="81" t="s">
        <v>192</v>
      </c>
      <c r="B97" s="71" t="s">
        <v>95</v>
      </c>
      <c r="C97" s="71" t="s">
        <v>88</v>
      </c>
      <c r="D97" s="72">
        <v>2</v>
      </c>
      <c r="E97" s="73">
        <v>3323</v>
      </c>
      <c r="F97" s="74" t="s">
        <v>96</v>
      </c>
      <c r="G97" s="89" t="s">
        <v>199</v>
      </c>
      <c r="H97" s="68"/>
      <c r="I97" s="68"/>
      <c r="J97" s="68"/>
      <c r="K97" s="68"/>
    </row>
    <row r="98" spans="1:11" ht="18" customHeight="1" x14ac:dyDescent="0.3">
      <c r="A98" s="82" t="s">
        <v>193</v>
      </c>
      <c r="B98" s="64" t="s">
        <v>95</v>
      </c>
      <c r="C98" s="64" t="s">
        <v>88</v>
      </c>
      <c r="D98" s="65">
        <v>2</v>
      </c>
      <c r="E98" s="66">
        <v>3323</v>
      </c>
      <c r="F98" s="67" t="s">
        <v>96</v>
      </c>
      <c r="G98" s="89" t="s">
        <v>199</v>
      </c>
      <c r="H98" s="68"/>
      <c r="I98" s="68"/>
      <c r="J98" s="68"/>
      <c r="K98" s="68"/>
    </row>
    <row r="99" spans="1:11" ht="18" customHeight="1" x14ac:dyDescent="0.3">
      <c r="A99" s="82" t="s">
        <v>194</v>
      </c>
      <c r="B99" s="71" t="s">
        <v>95</v>
      </c>
      <c r="C99" s="71" t="s">
        <v>88</v>
      </c>
      <c r="D99" s="72">
        <v>2</v>
      </c>
      <c r="E99" s="73">
        <v>3323</v>
      </c>
      <c r="F99" s="74" t="s">
        <v>96</v>
      </c>
      <c r="G99" s="89" t="s">
        <v>199</v>
      </c>
      <c r="H99" s="68"/>
      <c r="I99" s="68"/>
      <c r="J99" s="68"/>
      <c r="K99" s="68"/>
    </row>
    <row r="100" spans="1:11" ht="18" customHeight="1" x14ac:dyDescent="0.3">
      <c r="A100" s="81" t="s">
        <v>195</v>
      </c>
      <c r="B100" s="64" t="s">
        <v>92</v>
      </c>
      <c r="C100" s="64" t="s">
        <v>93</v>
      </c>
      <c r="D100" s="65">
        <v>1</v>
      </c>
      <c r="E100" s="66">
        <v>3316</v>
      </c>
      <c r="F100" s="67" t="s">
        <v>94</v>
      </c>
      <c r="G100" s="89" t="s">
        <v>197</v>
      </c>
      <c r="H100" s="68"/>
      <c r="I100" s="68"/>
      <c r="J100" s="68"/>
      <c r="K100" s="68"/>
    </row>
    <row r="101" spans="1:11" ht="18" customHeight="1" x14ac:dyDescent="0.3">
      <c r="A101" s="77">
        <v>75001</v>
      </c>
      <c r="B101" s="64" t="s">
        <v>92</v>
      </c>
      <c r="C101" s="64" t="s">
        <v>93</v>
      </c>
      <c r="D101" s="65">
        <v>1</v>
      </c>
      <c r="E101" s="66">
        <v>3316</v>
      </c>
      <c r="F101" s="67" t="s">
        <v>94</v>
      </c>
      <c r="G101" s="89" t="s">
        <v>197</v>
      </c>
      <c r="H101" s="70"/>
      <c r="I101" s="70"/>
      <c r="J101" s="70"/>
      <c r="K101" s="70"/>
    </row>
    <row r="102" spans="1:11" ht="18" customHeight="1" x14ac:dyDescent="0.3">
      <c r="A102" s="77">
        <v>75002</v>
      </c>
      <c r="B102" s="64" t="s">
        <v>92</v>
      </c>
      <c r="C102" s="64" t="s">
        <v>93</v>
      </c>
      <c r="D102" s="65">
        <v>1</v>
      </c>
      <c r="E102" s="66">
        <v>3316</v>
      </c>
      <c r="F102" s="67" t="s">
        <v>94</v>
      </c>
      <c r="G102" s="89" t="s">
        <v>197</v>
      </c>
      <c r="H102" s="70"/>
      <c r="I102" s="70"/>
      <c r="J102" s="70"/>
      <c r="K102" s="70"/>
    </row>
    <row r="103" spans="1:11" ht="18" customHeight="1" x14ac:dyDescent="0.3">
      <c r="A103" s="77">
        <v>75003</v>
      </c>
      <c r="B103" s="64" t="s">
        <v>92</v>
      </c>
      <c r="C103" s="64" t="s">
        <v>93</v>
      </c>
      <c r="D103" s="65">
        <v>1</v>
      </c>
      <c r="E103" s="66">
        <v>3316</v>
      </c>
      <c r="F103" s="67" t="s">
        <v>94</v>
      </c>
      <c r="G103" s="89" t="s">
        <v>197</v>
      </c>
    </row>
    <row r="104" spans="1:11" ht="18" customHeight="1" x14ac:dyDescent="0.3">
      <c r="A104" s="77">
        <v>75004</v>
      </c>
      <c r="B104" s="64" t="s">
        <v>92</v>
      </c>
      <c r="C104" s="64" t="s">
        <v>93</v>
      </c>
      <c r="D104" s="65">
        <v>1</v>
      </c>
      <c r="E104" s="66">
        <v>3316</v>
      </c>
      <c r="F104" s="67" t="s">
        <v>94</v>
      </c>
      <c r="G104" s="89" t="s">
        <v>197</v>
      </c>
    </row>
    <row r="105" spans="1:11" ht="18" customHeight="1" x14ac:dyDescent="0.3">
      <c r="A105" s="77">
        <v>75005</v>
      </c>
      <c r="B105" s="64" t="s">
        <v>92</v>
      </c>
      <c r="C105" s="64" t="s">
        <v>93</v>
      </c>
      <c r="D105" s="65">
        <v>1</v>
      </c>
      <c r="E105" s="66">
        <v>3316</v>
      </c>
      <c r="F105" s="67" t="s">
        <v>94</v>
      </c>
      <c r="G105" s="89" t="s">
        <v>197</v>
      </c>
    </row>
    <row r="106" spans="1:11" ht="18" customHeight="1" x14ac:dyDescent="0.3">
      <c r="A106" s="77">
        <v>75006</v>
      </c>
      <c r="B106" s="64" t="s">
        <v>92</v>
      </c>
      <c r="C106" s="64" t="s">
        <v>93</v>
      </c>
      <c r="D106" s="65">
        <v>1</v>
      </c>
      <c r="E106" s="66">
        <v>3316</v>
      </c>
      <c r="F106" s="67" t="s">
        <v>94</v>
      </c>
      <c r="G106" s="89" t="s">
        <v>197</v>
      </c>
    </row>
    <row r="107" spans="1:11" ht="18" customHeight="1" x14ac:dyDescent="0.3">
      <c r="A107" s="77">
        <v>75007</v>
      </c>
      <c r="B107" s="64" t="s">
        <v>92</v>
      </c>
      <c r="C107" s="64" t="s">
        <v>93</v>
      </c>
      <c r="D107" s="65">
        <v>1</v>
      </c>
      <c r="E107" s="66">
        <v>3316</v>
      </c>
      <c r="F107" s="67" t="s">
        <v>94</v>
      </c>
      <c r="G107" s="89" t="s">
        <v>197</v>
      </c>
    </row>
    <row r="108" spans="1:11" ht="18" customHeight="1" x14ac:dyDescent="0.3">
      <c r="A108" s="77">
        <v>75008</v>
      </c>
      <c r="B108" s="64" t="s">
        <v>92</v>
      </c>
      <c r="C108" s="64" t="s">
        <v>93</v>
      </c>
      <c r="D108" s="65">
        <v>1</v>
      </c>
      <c r="E108" s="66">
        <v>3316</v>
      </c>
      <c r="F108" s="67" t="s">
        <v>94</v>
      </c>
      <c r="G108" s="89" t="s">
        <v>197</v>
      </c>
    </row>
    <row r="109" spans="1:11" ht="18" customHeight="1" x14ac:dyDescent="0.3">
      <c r="A109" s="77">
        <v>75009</v>
      </c>
      <c r="B109" s="64" t="s">
        <v>92</v>
      </c>
      <c r="C109" s="64" t="s">
        <v>93</v>
      </c>
      <c r="D109" s="65">
        <v>1</v>
      </c>
      <c r="E109" s="66">
        <v>3316</v>
      </c>
      <c r="F109" s="67" t="s">
        <v>94</v>
      </c>
      <c r="G109" s="89" t="s">
        <v>197</v>
      </c>
    </row>
    <row r="110" spans="1:11" ht="18" customHeight="1" x14ac:dyDescent="0.3">
      <c r="A110" s="77">
        <v>75010</v>
      </c>
      <c r="B110" s="64" t="s">
        <v>92</v>
      </c>
      <c r="C110" s="64" t="s">
        <v>93</v>
      </c>
      <c r="D110" s="65">
        <v>1</v>
      </c>
      <c r="E110" s="66">
        <v>3316</v>
      </c>
      <c r="F110" s="67" t="s">
        <v>94</v>
      </c>
      <c r="G110" s="89" t="s">
        <v>197</v>
      </c>
    </row>
    <row r="111" spans="1:11" ht="18" customHeight="1" x14ac:dyDescent="0.3">
      <c r="A111" s="77">
        <v>75011</v>
      </c>
      <c r="B111" s="64" t="s">
        <v>92</v>
      </c>
      <c r="C111" s="64" t="s">
        <v>93</v>
      </c>
      <c r="D111" s="65">
        <v>1</v>
      </c>
      <c r="E111" s="66">
        <v>3316</v>
      </c>
      <c r="F111" s="67" t="s">
        <v>94</v>
      </c>
      <c r="G111" s="89" t="s">
        <v>197</v>
      </c>
    </row>
    <row r="112" spans="1:11" ht="18" customHeight="1" x14ac:dyDescent="0.3">
      <c r="A112" s="77">
        <v>75012</v>
      </c>
      <c r="B112" s="64" t="s">
        <v>92</v>
      </c>
      <c r="C112" s="64" t="s">
        <v>93</v>
      </c>
      <c r="D112" s="65">
        <v>1</v>
      </c>
      <c r="E112" s="66">
        <v>3316</v>
      </c>
      <c r="F112" s="67" t="s">
        <v>94</v>
      </c>
      <c r="G112" s="89" t="s">
        <v>197</v>
      </c>
    </row>
    <row r="113" spans="1:7" ht="18" customHeight="1" x14ac:dyDescent="0.3">
      <c r="A113" s="77">
        <v>75013</v>
      </c>
      <c r="B113" s="64" t="s">
        <v>92</v>
      </c>
      <c r="C113" s="64" t="s">
        <v>93</v>
      </c>
      <c r="D113" s="65">
        <v>1</v>
      </c>
      <c r="E113" s="66">
        <v>3316</v>
      </c>
      <c r="F113" s="67" t="s">
        <v>94</v>
      </c>
      <c r="G113" s="89" t="s">
        <v>197</v>
      </c>
    </row>
    <row r="114" spans="1:7" ht="18" customHeight="1" x14ac:dyDescent="0.3">
      <c r="A114" s="77">
        <v>75014</v>
      </c>
      <c r="B114" s="64" t="s">
        <v>92</v>
      </c>
      <c r="C114" s="64" t="s">
        <v>93</v>
      </c>
      <c r="D114" s="65">
        <v>1</v>
      </c>
      <c r="E114" s="66">
        <v>3316</v>
      </c>
      <c r="F114" s="67" t="s">
        <v>94</v>
      </c>
      <c r="G114" s="89" t="s">
        <v>197</v>
      </c>
    </row>
    <row r="115" spans="1:7" ht="18" customHeight="1" x14ac:dyDescent="0.3">
      <c r="A115" s="77">
        <v>75015</v>
      </c>
      <c r="B115" s="64" t="s">
        <v>92</v>
      </c>
      <c r="C115" s="64" t="s">
        <v>93</v>
      </c>
      <c r="D115" s="65">
        <v>1</v>
      </c>
      <c r="E115" s="66">
        <v>3316</v>
      </c>
      <c r="F115" s="67" t="s">
        <v>94</v>
      </c>
      <c r="G115" s="89" t="s">
        <v>197</v>
      </c>
    </row>
    <row r="116" spans="1:7" ht="18" customHeight="1" x14ac:dyDescent="0.3">
      <c r="A116" s="77">
        <v>75016</v>
      </c>
      <c r="B116" s="64" t="s">
        <v>92</v>
      </c>
      <c r="C116" s="64" t="s">
        <v>93</v>
      </c>
      <c r="D116" s="65">
        <v>1</v>
      </c>
      <c r="E116" s="66">
        <v>3316</v>
      </c>
      <c r="F116" s="67" t="s">
        <v>94</v>
      </c>
      <c r="G116" s="89" t="s">
        <v>197</v>
      </c>
    </row>
    <row r="117" spans="1:7" ht="18" customHeight="1" x14ac:dyDescent="0.3">
      <c r="A117" s="77">
        <v>75017</v>
      </c>
      <c r="B117" s="64" t="s">
        <v>92</v>
      </c>
      <c r="C117" s="64" t="s">
        <v>93</v>
      </c>
      <c r="D117" s="65">
        <v>1</v>
      </c>
      <c r="E117" s="66">
        <v>3316</v>
      </c>
      <c r="F117" s="67" t="s">
        <v>94</v>
      </c>
      <c r="G117" s="89" t="s">
        <v>197</v>
      </c>
    </row>
    <row r="118" spans="1:7" ht="18" customHeight="1" x14ac:dyDescent="0.3">
      <c r="A118" s="77">
        <v>75018</v>
      </c>
      <c r="B118" s="64" t="s">
        <v>92</v>
      </c>
      <c r="C118" s="64" t="s">
        <v>93</v>
      </c>
      <c r="D118" s="65">
        <v>1</v>
      </c>
      <c r="E118" s="66">
        <v>3316</v>
      </c>
      <c r="F118" s="67" t="s">
        <v>94</v>
      </c>
      <c r="G118" s="89" t="s">
        <v>197</v>
      </c>
    </row>
    <row r="119" spans="1:7" ht="18" customHeight="1" x14ac:dyDescent="0.3">
      <c r="A119" s="77">
        <v>75019</v>
      </c>
      <c r="B119" s="64" t="s">
        <v>92</v>
      </c>
      <c r="C119" s="64" t="s">
        <v>93</v>
      </c>
      <c r="D119" s="65">
        <v>1</v>
      </c>
      <c r="E119" s="66">
        <v>3316</v>
      </c>
      <c r="F119" s="67" t="s">
        <v>94</v>
      </c>
      <c r="G119" s="89" t="s">
        <v>197</v>
      </c>
    </row>
    <row r="120" spans="1:7" ht="18" customHeight="1" x14ac:dyDescent="0.3">
      <c r="A120" s="77">
        <v>75020</v>
      </c>
      <c r="B120" s="64" t="s">
        <v>95</v>
      </c>
      <c r="C120" s="64" t="s">
        <v>88</v>
      </c>
      <c r="D120" s="65">
        <v>2</v>
      </c>
      <c r="E120" s="66">
        <v>3323</v>
      </c>
      <c r="F120" s="67" t="s">
        <v>96</v>
      </c>
      <c r="G120" s="89" t="s">
        <v>199</v>
      </c>
    </row>
  </sheetData>
  <autoFilter ref="A1:G120" xr:uid="{7B925757-7E2B-4FCD-9F15-A973708D71AB}"/>
  <phoneticPr fontId="25" type="noConversion"/>
  <hyperlinks>
    <hyperlink ref="G4" r:id="rId1" xr:uid="{1745B7EB-61A1-4441-8D0A-61307A93D9AB}"/>
    <hyperlink ref="G5" r:id="rId2" xr:uid="{7725A5E7-D8CD-463E-8BDE-495A57C43286}"/>
    <hyperlink ref="G12" r:id="rId3" xr:uid="{66E1807D-E562-40D4-890A-C0E3F9CFE7F8}"/>
    <hyperlink ref="G21" r:id="rId4" xr:uid="{FBF3F941-1508-45B6-8CA2-FBE0D537199E}"/>
    <hyperlink ref="G39:G40" r:id="rId5" display="dominiquegirard@horizal.com" xr:uid="{CFB0F13C-D7C7-430A-905E-B94EAB7A0E62}"/>
    <hyperlink ref="G44" r:id="rId6" xr:uid="{6EB78703-8F47-4F9E-83A6-B870DF27DB12}"/>
    <hyperlink ref="G48" r:id="rId7" xr:uid="{C4199999-659D-40E5-892D-88DED57FE3BD}"/>
    <hyperlink ref="G61" r:id="rId8" xr:uid="{5244AB81-511D-4790-BD19-4B6336595C1E}"/>
    <hyperlink ref="G82" r:id="rId9" xr:uid="{C692C8F7-FDB7-4AB5-A8D9-C9D990343889}"/>
    <hyperlink ref="G94" r:id="rId10" xr:uid="{B315AD56-7C2D-4073-9920-580E5A00FB59}"/>
    <hyperlink ref="G96:G99" r:id="rId11" display="dominiquegirard@horizal.com" xr:uid="{2EE9869A-43E4-4C24-A6A9-3C74710E2134}"/>
    <hyperlink ref="G7" r:id="rId12" xr:uid="{0CAD8BC1-CA37-42C8-999A-82BA1766A15E}"/>
    <hyperlink ref="G9" r:id="rId13" xr:uid="{59654CA7-0826-4594-BB47-A3F1572A1F44}"/>
    <hyperlink ref="G14" r:id="rId14" xr:uid="{B1A866C8-D534-4425-8502-24520032107C}"/>
    <hyperlink ref="G16" r:id="rId15" xr:uid="{40C88FE4-D646-4351-8CC2-945464D37E72}"/>
    <hyperlink ref="G23" r:id="rId16" xr:uid="{21A333EA-BC16-4570-A44D-0292C15DADE8}"/>
    <hyperlink ref="G33" r:id="rId17" xr:uid="{DC267107-9458-4B4B-A5D4-1A135FCF11EB}"/>
    <hyperlink ref="G37" r:id="rId18" xr:uid="{11944E6D-7242-415B-8357-BDF3C4E1D392}"/>
    <hyperlink ref="G51" r:id="rId19" xr:uid="{F17DAFA4-9306-4DF5-8510-B8A7F94E0FB7}"/>
    <hyperlink ref="G69" r:id="rId20" xr:uid="{FC01EFE6-302A-4EF1-A27A-0E7A640D7FBF}"/>
    <hyperlink ref="G88:G89" r:id="rId21" display="frederictarel@horizal.com" xr:uid="{61BBDE4A-0C16-4E13-9994-1A562411DB88}"/>
    <hyperlink ref="G11" r:id="rId22" xr:uid="{DD170EDB-EEE7-42B5-BE0B-48C0299D003A}"/>
    <hyperlink ref="G54" r:id="rId23" xr:uid="{A3D1DD35-B221-4EEB-BA3F-68DFF6E84CFE}"/>
    <hyperlink ref="G62:G63" r:id="rId24" display="hervedemeulemeester@horizal.com" xr:uid="{71E8970A-C3AD-4465-AAD0-525C2556882D}"/>
    <hyperlink ref="G65" r:id="rId25" xr:uid="{AB9AABF8-AB58-43EF-8644-02306241D9E7}"/>
    <hyperlink ref="G85" r:id="rId26" xr:uid="{D1A0B444-2C0C-4EE2-B1EF-233D92F9C1F4}"/>
    <hyperlink ref="G17" r:id="rId27" xr:uid="{B05146BF-95A0-448A-89E2-F34057C82AD9}"/>
    <hyperlink ref="G30:G31" r:id="rId28" display="lioneldelange@horizal.com" xr:uid="{39EB8467-5079-4F0E-A53C-4659F5101587}"/>
    <hyperlink ref="G53" r:id="rId29" xr:uid="{E543E834-D38B-46CE-A271-F86E33580157}"/>
    <hyperlink ref="G64" r:id="rId30" xr:uid="{B59A0820-9D58-4B0B-B4B1-6BE3703BABF6}"/>
    <hyperlink ref="G81" r:id="rId31" xr:uid="{4C5D0964-7985-4FA9-B3E9-F3860A8006DB}"/>
    <hyperlink ref="G83" r:id="rId32" xr:uid="{0DDBB699-7B7F-4DE4-AE6C-32F23A08B1EC}"/>
    <hyperlink ref="G100" r:id="rId33" xr:uid="{4DA02EB1-F8D2-4AE6-A2AD-49E05088CF76}"/>
    <hyperlink ref="G13" r:id="rId34" xr:uid="{3A0586D2-EE45-4452-BE83-3F57DB3DD729}"/>
    <hyperlink ref="G24" r:id="rId35" xr:uid="{A75DE583-0E18-4762-BB52-8BC8FF7479C2}"/>
    <hyperlink ref="G28" r:id="rId36" xr:uid="{78E93CB2-D059-45AE-A2E2-1CD070DCC795}"/>
    <hyperlink ref="G55" r:id="rId37" xr:uid="{F4B71125-909B-4C6B-A719-4719E32F414D}"/>
    <hyperlink ref="G57:G58" r:id="rId38" display="olivierrinaldi@horizal.com" xr:uid="{FE5D3E97-D0BC-4B1F-AFF6-431D9F92FC3E}"/>
    <hyperlink ref="G60" r:id="rId39" xr:uid="{B4CEACA6-86FA-4944-8636-EA4E7D6D3CAA}"/>
    <hyperlink ref="G70:G71" r:id="rId40" display="olivierrinaldi@horizal.com" xr:uid="{689AF563-0B22-4EEF-AA9F-E83E09EB981B}"/>
    <hyperlink ref="G73" r:id="rId41" xr:uid="{DCBB61DF-1510-4985-A485-0ECE173BE17C}"/>
    <hyperlink ref="G93" r:id="rId42" xr:uid="{799CC248-6F8D-4A33-96B3-1B73C49F4DC0}"/>
    <hyperlink ref="G95" r:id="rId43" xr:uid="{96DA29B4-645B-46A7-AD0F-B7D09003E88C}"/>
    <hyperlink ref="G6" r:id="rId44" xr:uid="{DCC7C796-5DDE-4ACB-8DA6-E5159720C94B}"/>
    <hyperlink ref="G8" r:id="rId45" xr:uid="{75B6467E-F42F-49BE-8A7E-B008080379B7}"/>
    <hyperlink ref="G10" r:id="rId46" xr:uid="{FF0EE699-2B23-4F86-8717-970BC7AC818D}"/>
    <hyperlink ref="G29" r:id="rId47" xr:uid="{67C18250-C215-4B1C-91A7-B6EC9E3C1E58}"/>
    <hyperlink ref="G41:G42" r:id="rId48" display="philipperoudil@horizal.com" xr:uid="{DB1C14C1-B22D-4062-AC62-5BE921F320AF}"/>
    <hyperlink ref="G45:G46" r:id="rId49" display="philipperoudil@horizal.com" xr:uid="{5224C3EB-7875-4093-BECA-C26CB4324317}"/>
    <hyperlink ref="G66" r:id="rId50" xr:uid="{5A457FD6-6DB3-4109-A283-93D5DA80A7AC}"/>
    <hyperlink ref="G72" r:id="rId51" xr:uid="{63EB3EA9-B2C5-46F0-9F00-A80531B979FC}"/>
    <hyperlink ref="G74" r:id="rId52" xr:uid="{171480A4-7A11-4EB3-BD9F-AFEDE1FDCFB0}"/>
    <hyperlink ref="G76:G77" r:id="rId53" display="philipperoudil@horizal.com" xr:uid="{B8918074-0FE1-48CD-9573-5C981341ECDC}"/>
    <hyperlink ref="G25" r:id="rId54" xr:uid="{604064C1-5A1D-4D3E-8BEC-71DA13F8F0EE}"/>
    <hyperlink ref="G32" r:id="rId55" xr:uid="{DF61B856-C5D7-42E5-B531-7500D2EE3119}"/>
    <hyperlink ref="G38" r:id="rId56" xr:uid="{98DACC8E-8923-4202-8FE0-12442B1009A0}"/>
    <hyperlink ref="G47" r:id="rId57" xr:uid="{82D6E0FC-A7AD-438D-94FD-E90D2258FDE9}"/>
    <hyperlink ref="G52" r:id="rId58" xr:uid="{41367366-686C-4E71-8287-CD00B1F01BF6}"/>
    <hyperlink ref="G56" r:id="rId59" xr:uid="{9CBE192F-A491-4789-A8B6-EBABC8F80F7C}"/>
    <hyperlink ref="G59" r:id="rId60" xr:uid="{D4F92A6C-EADE-4D2A-BE19-144679D8B948}"/>
    <hyperlink ref="G75" r:id="rId61" xr:uid="{7B372BA1-6D90-42DA-93F3-531588C6DE66}"/>
    <hyperlink ref="G84" r:id="rId62" xr:uid="{B9C30CC3-5256-40E1-B265-9423070B415C}"/>
    <hyperlink ref="G90:G91" r:id="rId63" display="yannnoblet@horizal.com" xr:uid="{9D2B5D0E-912B-49C4-BFC9-6BF08D6A4014}"/>
    <hyperlink ref="G101:G119" r:id="rId64" display="lioneldelange@horizal.com" xr:uid="{11A02EE0-0033-45B5-BE32-4DA8D53FCE95}"/>
    <hyperlink ref="G120" r:id="rId65" xr:uid="{33CA9BCF-8393-4528-852D-5E78C21FBFE3}"/>
    <hyperlink ref="G18:G20" r:id="rId66" display="arnauddroulez@horizal.com" xr:uid="{359E6CE5-E76E-4AC1-80EF-92E17C0DAFC8}"/>
    <hyperlink ref="G22" r:id="rId67" xr:uid="{CE6ECE19-DA63-452A-8F59-2B41A089E442}"/>
    <hyperlink ref="G26:G27" r:id="rId68" display="arnauddroulez@horizal.com" xr:uid="{6999D58D-2EB5-4332-91C2-877E4149B5D7}"/>
    <hyperlink ref="G34:G36" r:id="rId69" display="arnauddroulez@horizal.com" xr:uid="{4ABFBB0C-E8F5-4440-813C-EE6B74C62F5F}"/>
    <hyperlink ref="G43" r:id="rId70" xr:uid="{7A6C980A-80FE-4BD9-A492-12485EAD70D5}"/>
    <hyperlink ref="G49:G50" r:id="rId71" display="arnauddroulez@horizal.com" xr:uid="{E531B1C7-3B29-43BC-9497-0DB5FC62F898}"/>
    <hyperlink ref="G67:G68" r:id="rId72" display="arnauddroulez@horizal.com" xr:uid="{239CE9CC-D9BC-485E-82E6-9B96A8F8AE90}"/>
    <hyperlink ref="G86:G87" r:id="rId73" display="arnauddroulez@horizal.com" xr:uid="{E97FF58F-63F2-432C-BF11-1991D43892C1}"/>
    <hyperlink ref="G92" r:id="rId74" xr:uid="{A3C3244B-F41A-45E6-96CB-94DCC189A217}"/>
    <hyperlink ref="G15" r:id="rId75" xr:uid="{E7F28BA9-5F59-4C44-AA07-27C443668509}"/>
  </hyperlinks>
  <pageMargins left="0.7" right="0.7" top="0.75" bottom="0.75" header="0.3" footer="0.3"/>
  <pageSetup paperSize="8" orientation="portrait" r:id="rId7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Demande de prix</vt:lpstr>
      <vt:lpstr>Remise de prix</vt:lpstr>
      <vt:lpstr>Département Commerciaux</vt:lpstr>
      <vt:lpstr>'Remise de prix'!Impression_des_titres</vt:lpstr>
      <vt:lpstr>'Remise de prix'!Zone_d_impression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Arnaud Droulez</dc:creator>
  <cp:lastModifiedBy>laurent delhorme</cp:lastModifiedBy>
  <cp:lastPrinted>2023-01-03T15:12:32Z</cp:lastPrinted>
  <dcterms:created xsi:type="dcterms:W3CDTF">2022-05-09T12:46:35Z</dcterms:created>
  <dcterms:modified xsi:type="dcterms:W3CDTF">2023-01-10T13:18:50Z</dcterms:modified>
</cp:coreProperties>
</file>