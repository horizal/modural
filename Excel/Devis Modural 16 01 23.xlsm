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4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3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9" documentId="8_{4A8D4D45-6583-4F18-993A-974757C70051}" xr6:coauthVersionLast="47" xr6:coauthVersionMax="47" xr10:uidLastSave="{536D5ED6-9ACF-4F22-9153-428851C7E673}"/>
  <bookViews>
    <workbookView xWindow="-120" yWindow="-120" windowWidth="29040" windowHeight="15840" activeTab="1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prix'!$A$1:$I$171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4" i="2" l="1"/>
  <c r="C63" i="2"/>
  <c r="C62" i="2"/>
  <c r="C67" i="2"/>
  <c r="C85" i="2"/>
  <c r="C84" i="2"/>
  <c r="C83" i="2"/>
  <c r="C81" i="2"/>
  <c r="C78" i="2"/>
  <c r="C77" i="2"/>
  <c r="C76" i="2"/>
  <c r="C72" i="2"/>
  <c r="C74" i="2" s="1"/>
  <c r="H87" i="3" s="1"/>
  <c r="D32" i="2"/>
  <c r="D29" i="2"/>
  <c r="D26" i="2"/>
  <c r="D25" i="2"/>
  <c r="D24" i="2"/>
  <c r="D23" i="2"/>
  <c r="D22" i="2"/>
  <c r="D18" i="2"/>
  <c r="C15" i="3" l="1"/>
  <c r="G107" i="3"/>
  <c r="C14" i="3"/>
  <c r="H1" i="5"/>
  <c r="F1" i="5"/>
  <c r="I3" i="5" s="1"/>
  <c r="D66" i="3" l="1"/>
  <c r="F84" i="3"/>
  <c r="G95" i="3"/>
  <c r="G101" i="3"/>
  <c r="I1" i="5"/>
  <c r="I8" i="5"/>
  <c r="D125" i="3"/>
  <c r="H127" i="3" s="1"/>
  <c r="D120" i="3"/>
  <c r="H122" i="3" s="1"/>
  <c r="D115" i="3"/>
  <c r="H117" i="3" s="1"/>
  <c r="D109" i="3"/>
  <c r="H111" i="3" s="1"/>
  <c r="D103" i="3"/>
  <c r="H105" i="3" s="1"/>
  <c r="D97" i="3"/>
  <c r="H99" i="3" s="1"/>
  <c r="D91" i="3"/>
  <c r="H93" i="3" s="1"/>
  <c r="H72" i="2"/>
  <c r="G10" i="3"/>
  <c r="F10" i="3"/>
  <c r="F9" i="3"/>
  <c r="F8" i="3"/>
  <c r="F3" i="3"/>
  <c r="D19" i="2"/>
  <c r="J18" i="3"/>
  <c r="F1" i="3" l="1"/>
  <c r="H74" i="2"/>
  <c r="K3" i="5"/>
  <c r="J3" i="5"/>
  <c r="I4" i="5"/>
  <c r="C73" i="2"/>
  <c r="E72" i="3"/>
  <c r="H76" i="3" s="1"/>
  <c r="D80" i="3" l="1"/>
  <c r="H82" i="3"/>
  <c r="F145" i="3"/>
  <c r="H145" i="3" s="1"/>
  <c r="H146" i="3" s="1"/>
  <c r="D85" i="3"/>
  <c r="U150" i="3" l="1"/>
  <c r="O150" i="3" s="1"/>
  <c r="H139" i="3" s="1"/>
  <c r="H149" i="3" s="1"/>
  <c r="C151" i="3" l="1"/>
  <c r="H150" i="3"/>
  <c r="H151" i="3" s="1"/>
  <c r="I1" i="3" l="1"/>
  <c r="C150" i="3"/>
</calcChain>
</file>

<file path=xl/sharedStrings.xml><?xml version="1.0" encoding="utf-8"?>
<sst xmlns="http://schemas.openxmlformats.org/spreadsheetml/2006/main" count="717" uniqueCount="242">
  <si>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</si>
  <si>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</si>
  <si>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</si>
  <si>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</si>
  <si>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</si>
  <si>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</si>
  <si>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</si>
  <si>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</si>
  <si>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</si>
  <si>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</si>
  <si>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</si>
  <si>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</si>
  <si>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</si>
  <si>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</si>
  <si>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</si>
  <si>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</si>
  <si>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</si>
  <si>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</si>
  <si>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</si>
  <si>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</si>
  <si>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</si>
  <si>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</si>
  <si>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</si>
  <si>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</si>
  <si>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</si>
  <si>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</si>
  <si>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</si>
  <si>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</si>
  <si>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</si>
  <si>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</si>
  <si>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</si>
  <si>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</si>
  <si>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</si>
  <si>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</si>
  <si>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</si>
  <si>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</si>
  <si>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</si>
  <si>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</si>
  <si>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</si>
  <si>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</si>
  <si>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</si>
  <si>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</si>
  <si>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</si>
  <si>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</si>
  <si>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</si>
  <si>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</si>
  <si>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</si>
  <si>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</si>
  <si>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</si>
  <si>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</si>
  <si>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</si>
  <si>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</si>
  <si>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</si>
  <si>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</si>
  <si>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</si>
  <si>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</si>
  <si>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</si>
  <si>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</si>
  <si>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</si>
  <si>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</si>
  <si>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</si>
  <si>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</si>
  <si>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</si>
  <si>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</si>
  <si>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</si>
  <si>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</si>
  <si>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</si>
  <si>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</si>
  <si>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</si>
  <si>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</si>
  <si>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</si>
  <si>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</si>
  <si>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</si>
  <si>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</si>
  <si>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</si>
  <si>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</si>
  <si>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</si>
  <si>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</si>
  <si>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</si>
  <si>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</si>
  <si>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</si>
  <si>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</si>
  <si>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</si>
  <si>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</si>
  <si>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</si>
  <si>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</si>
  <si>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</si>
  <si>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</si>
  <si>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</si>
  <si>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</si>
  <si>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</si>
  <si>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</si>
  <si>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</si>
  <si>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</si>
  <si>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</si>
  <si>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</si>
  <si>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</si>
  <si>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</si>
  <si>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</si>
  <si>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</si>
  <si>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</si>
  <si>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</si>
  <si>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</si>
  <si>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</si>
  <si>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</si>
  <si>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</si>
  <si>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</si>
  <si>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</si>
  <si>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</si>
  <si>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</si>
  <si>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</si>
  <si>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</si>
  <si>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</si>
  <si>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</si>
  <si>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</si>
  <si>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</si>
  <si>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</si>
  <si>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</si>
  <si>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</si>
  <si>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</si>
  <si>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</si>
  <si>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</si>
  <si>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</si>
  <si>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</si>
  <si>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</si>
  <si>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</si>
  <si>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</si>
  <si>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</si>
  <si>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</si>
  <si>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</si>
  <si>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</si>
  <si>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</si>
  <si>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</si>
  <si>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</si>
  <si>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</si>
  <si>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</si>
  <si>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</si>
  <si>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</si>
  <si>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</si>
  <si>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</si>
  <si>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</si>
  <si>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</si>
  <si>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</si>
  <si>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</si>
  <si>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</si>
  <si>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</si>
  <si>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</si>
  <si>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</si>
  <si>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</si>
  <si>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</si>
  <si>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</si>
  <si>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</si>
  <si>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</si>
  <si>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</si>
  <si>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</si>
  <si>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</si>
  <si>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</si>
  <si>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</si>
  <si>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</si>
  <si>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</si>
  <si>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</si>
  <si>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</si>
  <si>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</si>
  <si>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</si>
  <si>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</si>
  <si>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</si>
  <si>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</si>
  <si>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</si>
  <si>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</si>
  <si>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</si>
  <si>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</si>
  <si>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</si>
  <si>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</si>
  <si>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</si>
  <si>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</si>
  <si>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</si>
  <si>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</si>
  <si>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</si>
  <si>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</si>
  <si>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</si>
  <si>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</si>
  <si>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</si>
  <si>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</si>
  <si>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</si>
  <si>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</si>
  <si>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</si>
  <si>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</si>
  <si>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</si>
  <si>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</si>
  <si>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</si>
  <si>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</si>
  <si>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</si>
  <si>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</si>
  <si>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</si>
  <si>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</si>
  <si>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</si>
  <si>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</si>
  <si>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</si>
  <si>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</si>
  <si>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</si>
  <si>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</si>
  <si>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</si>
  <si>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</si>
  <si>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</si>
  <si>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</si>
  <si>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</si>
  <si>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</si>
  <si>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</si>
  <si>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</si>
  <si>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</si>
  <si>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</si>
  <si>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</si>
  <si>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</si>
  <si>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</si>
  <si>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</si>
  <si>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</si>
  <si>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</si>
  <si>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</si>
  <si>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</si>
  <si>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</si>
  <si>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</si>
  <si>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</si>
  <si>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</si>
  <si>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</si>
  <si>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</si>
  <si>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</si>
  <si>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</si>
  <si>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</si>
  <si>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</si>
  <si>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</si>
  <si>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</si>
  <si>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</si>
  <si>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</si>
  <si>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</si>
  <si>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</si>
  <si>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</si>
  <si>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 xml:space="preserve">toto </t>
  </si>
  <si>
    <t xml:space="preserve">horizal </t>
  </si>
  <si>
    <t xml:space="preserve">174 route de lyon </t>
  </si>
  <si>
    <t xml:space="preserve">bourgoin jallieu </t>
  </si>
  <si>
    <t xml:space="preserve">laurent </t>
  </si>
  <si>
    <t xml:space="preserve">laurentdelhorme@horizal.com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</si>
</sst>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91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6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0" fontId="6" fillId="0" borderId="19" xfId="2" applyBorder="1" applyAlignment="1" applyProtection="1">
      <alignment horizontal="left"/>
      <protection locked="0"/>
    </xf>
    <xf numFmtId="164" fontId="6" fillId="0" borderId="20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2" xfId="3" applyNumberFormat="1" applyFont="1" applyBorder="1" applyAlignment="1">
      <alignment horizontal="center" vertical="center"/>
    </xf>
    <xf numFmtId="1" fontId="21" fillId="0" borderId="22" xfId="3" applyNumberFormat="1" applyFont="1" applyBorder="1" applyAlignment="1">
      <alignment horizontal="center" vertical="center"/>
    </xf>
    <xf numFmtId="1" fontId="21" fillId="0" borderId="23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1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2" xfId="3" applyNumberFormat="1" applyFont="1" applyFill="1" applyBorder="1" applyAlignment="1">
      <alignment horizontal="left" vertical="center" indent="1"/>
    </xf>
    <xf numFmtId="1" fontId="23" fillId="2" borderId="22" xfId="3" applyNumberFormat="1" applyFont="1" applyFill="1" applyBorder="1" applyAlignment="1">
      <alignment horizontal="center" vertical="center"/>
    </xf>
    <xf numFmtId="1" fontId="23" fillId="2" borderId="23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2" xfId="3" applyNumberFormat="1" applyFont="1" applyBorder="1" applyAlignment="1">
      <alignment horizontal="left" vertical="center" indent="1"/>
    </xf>
    <xf numFmtId="1" fontId="23" fillId="0" borderId="22" xfId="3" applyNumberFormat="1" applyFont="1" applyBorder="1" applyAlignment="1">
      <alignment horizontal="center" vertical="center"/>
    </xf>
    <xf numFmtId="1" fontId="23" fillId="0" borderId="23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2" xfId="4" applyFont="1" applyFill="1" applyBorder="1" applyAlignment="1">
      <alignment horizontal="left" indent="1"/>
    </xf>
    <xf numFmtId="0" fontId="22" fillId="2" borderId="22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2" xfId="3" applyNumberFormat="1" applyFont="1" applyFill="1" applyBorder="1" applyAlignment="1">
      <alignment horizontal="center" vertical="center"/>
    </xf>
    <xf numFmtId="49" fontId="22" fillId="0" borderId="22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1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4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5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164" fontId="0" fillId="0" borderId="26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32" fillId="0" borderId="0" xfId="0" applyFont="1"/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16" fillId="0" borderId="0" xfId="0" applyFont="1"/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  <xf numFmtId="164" fontId="6" fillId="0" borderId="10" xfId="2" applyNumberFormat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12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8" fillId="0" borderId="5" xfId="2" applyFont="1" applyBorder="1" applyAlignment="1" applyProtection="1">
      <alignment horizontal="center" vertical="top" wrapText="1"/>
      <protection locked="0"/>
    </xf>
    <xf numFmtId="0" fontId="8" fillId="0" borderId="5" xfId="2" applyFont="1" applyBorder="1" applyAlignment="1">
      <alignment horizontal="center" vertical="top" wrapText="1"/>
    </xf>
    <xf numFmtId="0" fontId="8" fillId="0" borderId="6" xfId="2" applyFont="1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7" fillId="0" borderId="2" xfId="2" applyFont="1" applyBorder="1" applyAlignment="1" applyProtection="1">
      <alignment horizontal="center"/>
      <protection locked="0"/>
    </xf>
    <xf numFmtId="0" fontId="6" fillId="0" borderId="3" xfId="2" applyBorder="1"/>
    <xf numFmtId="0" fontId="6" fillId="0" borderId="4" xfId="2" applyBorder="1"/>
    <xf numFmtId="164" fontId="7" fillId="0" borderId="1" xfId="2" applyNumberFormat="1" applyFont="1" applyBorder="1" applyAlignment="1" applyProtection="1">
      <alignment horizontal="center"/>
      <protection locked="0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4.xml"/><Relationship Id="rId5" Type="http://schemas.openxmlformats.org/officeDocument/2006/relationships/theme" Target="theme/theme1.xml"/><Relationship Id="rId15" Type="http://schemas.microsoft.com/office/2017/10/relationships/person" Target="persons/pers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microsoft.com/office/2017/10/relationships/person" Target="persons/person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jp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26798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533400</xdr:colOff>
      <xdr:row>39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39</xdr:row>
      <xdr:rowOff>0</xdr:rowOff>
    </xdr:from>
    <xdr:to>
      <xdr:col>4</xdr:col>
      <xdr:colOff>438150</xdr:colOff>
      <xdr:row>39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209550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189034</xdr:colOff>
      <xdr:row>57</xdr:row>
      <xdr:rowOff>130423</xdr:rowOff>
    </xdr:from>
    <xdr:to>
      <xdr:col>7</xdr:col>
      <xdr:colOff>712909</xdr:colOff>
      <xdr:row>58</xdr:row>
      <xdr:rowOff>124558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9034" y="9728692"/>
          <a:ext cx="5498856" cy="155328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51</xdr:row>
      <xdr:rowOff>66675</xdr:rowOff>
    </xdr:from>
    <xdr:to>
      <xdr:col>7</xdr:col>
      <xdr:colOff>1019175</xdr:colOff>
      <xdr:row>55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20</xdr:row>
      <xdr:rowOff>19051</xdr:rowOff>
    </xdr:from>
    <xdr:to>
      <xdr:col>7</xdr:col>
      <xdr:colOff>962025</xdr:colOff>
      <xdr:row>47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76</xdr:row>
      <xdr:rowOff>114300</xdr:rowOff>
    </xdr:from>
    <xdr:to>
      <xdr:col>1</xdr:col>
      <xdr:colOff>346472</xdr:colOff>
      <xdr:row>81</xdr:row>
      <xdr:rowOff>2287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122</xdr:row>
      <xdr:rowOff>43961</xdr:rowOff>
    </xdr:from>
    <xdr:to>
      <xdr:col>1</xdr:col>
      <xdr:colOff>513130</xdr:colOff>
      <xdr:row>126</xdr:row>
      <xdr:rowOff>136023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134</xdr:row>
      <xdr:rowOff>76200</xdr:rowOff>
    </xdr:from>
    <xdr:to>
      <xdr:col>1</xdr:col>
      <xdr:colOff>243840</xdr:colOff>
      <xdr:row>139</xdr:row>
      <xdr:rowOff>3077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114301</xdr:rowOff>
    </xdr:from>
    <xdr:to>
      <xdr:col>1</xdr:col>
      <xdr:colOff>628037</xdr:colOff>
      <xdr:row>70</xdr:row>
      <xdr:rowOff>133351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121443</xdr:colOff>
      <xdr:row>82</xdr:row>
      <xdr:rowOff>77391</xdr:rowOff>
    </xdr:from>
    <xdr:to>
      <xdr:col>1</xdr:col>
      <xdr:colOff>428053</xdr:colOff>
      <xdr:row>86</xdr:row>
      <xdr:rowOff>117543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1443" y="13716000"/>
          <a:ext cx="1020985" cy="552121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87</xdr:row>
      <xdr:rowOff>57150</xdr:rowOff>
    </xdr:from>
    <xdr:to>
      <xdr:col>1</xdr:col>
      <xdr:colOff>302601</xdr:colOff>
      <xdr:row>92</xdr:row>
      <xdr:rowOff>59111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94</xdr:row>
      <xdr:rowOff>47625</xdr:rowOff>
    </xdr:from>
    <xdr:to>
      <xdr:col>0</xdr:col>
      <xdr:colOff>626060</xdr:colOff>
      <xdr:row>108</xdr:row>
      <xdr:rowOff>33100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685800</xdr:colOff>
      <xdr:row>94</xdr:row>
      <xdr:rowOff>104775</xdr:rowOff>
    </xdr:from>
    <xdr:to>
      <xdr:col>1</xdr:col>
      <xdr:colOff>569416</xdr:colOff>
      <xdr:row>108</xdr:row>
      <xdr:rowOff>52150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57150</xdr:colOff>
      <xdr:row>100</xdr:row>
      <xdr:rowOff>76200</xdr:rowOff>
    </xdr:from>
    <xdr:to>
      <xdr:col>1</xdr:col>
      <xdr:colOff>17600</xdr:colOff>
      <xdr:row>108</xdr:row>
      <xdr:rowOff>10240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695326</xdr:colOff>
      <xdr:row>100</xdr:row>
      <xdr:rowOff>47626</xdr:rowOff>
    </xdr:from>
    <xdr:to>
      <xdr:col>1</xdr:col>
      <xdr:colOff>628319</xdr:colOff>
      <xdr:row>108</xdr:row>
      <xdr:rowOff>115015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323850</xdr:colOff>
      <xdr:row>106</xdr:row>
      <xdr:rowOff>18317</xdr:rowOff>
    </xdr:from>
    <xdr:to>
      <xdr:col>1</xdr:col>
      <xdr:colOff>320040</xdr:colOff>
      <xdr:row>110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112</xdr:row>
      <xdr:rowOff>137081</xdr:rowOff>
    </xdr:from>
    <xdr:to>
      <xdr:col>1</xdr:col>
      <xdr:colOff>571501</xdr:colOff>
      <xdr:row>116</xdr:row>
      <xdr:rowOff>92921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118</xdr:row>
      <xdr:rowOff>4037</xdr:rowOff>
    </xdr:from>
    <xdr:to>
      <xdr:col>1</xdr:col>
      <xdr:colOff>551710</xdr:colOff>
      <xdr:row>121</xdr:row>
      <xdr:rowOff>59353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127</xdr:row>
      <xdr:rowOff>8789</xdr:rowOff>
    </xdr:from>
    <xdr:to>
      <xdr:col>1</xdr:col>
      <xdr:colOff>227135</xdr:colOff>
      <xdr:row>132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129</xdr:row>
      <xdr:rowOff>36635</xdr:rowOff>
    </xdr:from>
    <xdr:to>
      <xdr:col>5</xdr:col>
      <xdr:colOff>1</xdr:colOff>
      <xdr:row>132</xdr:row>
      <xdr:rowOff>1440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13</xdr:col>
      <xdr:colOff>67774</xdr:colOff>
      <xdr:row>153</xdr:row>
      <xdr:rowOff>107157</xdr:rowOff>
    </xdr:from>
    <xdr:to>
      <xdr:col>14</xdr:col>
      <xdr:colOff>157016</xdr:colOff>
      <xdr:row>157</xdr:row>
      <xdr:rowOff>74735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6899" y="22693313"/>
          <a:ext cx="803617" cy="6105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zoomScale="85" zoomScaleNormal="85" workbookViewId="0">
      <selection activeCell="M30" sqref="M30"/>
    </sheetView>
  </sheetViews>
  <sheetFormatPr baseColWidth="10" defaultColWidth="11.42578125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142" t="s">
        <v>208</v>
      </c>
    </row>
    <row r="8" spans="12:12" ht="15" customHeight="1" x14ac:dyDescent="0.25">
      <c r="L8" s="143">
        <v>5010</v>
      </c>
    </row>
    <row r="9" spans="12:12" x14ac:dyDescent="0.25">
      <c r="L9" s="144"/>
    </row>
    <row r="10" spans="12:12" ht="39.75" customHeight="1" x14ac:dyDescent="0.25">
      <c r="L10" s="142" t="s">
        <v>234</v>
      </c>
    </row>
    <row r="11" spans="12:12" ht="15" customHeight="1" x14ac:dyDescent="0.25">
      <c r="L11" s="143" t="s">
        <v>235</v>
      </c>
    </row>
    <row r="12" spans="12:12" x14ac:dyDescent="0.25">
      <c r="L12" s="144"/>
    </row>
    <row r="13" spans="12:12" ht="15" customHeight="1" x14ac:dyDescent="0.25">
      <c r="L13" s="142">
        <v>95970</v>
      </c>
    </row>
    <row r="14" spans="12:12" ht="15" customHeight="1" x14ac:dyDescent="0.25">
      <c r="L14" s="143">
        <v>1</v>
      </c>
    </row>
    <row r="15" spans="12:12" x14ac:dyDescent="0.25">
      <c r="L15" s="144"/>
    </row>
    <row r="16" spans="12:12" ht="15" customHeight="1" x14ac:dyDescent="0.25">
      <c r="L16" s="142">
        <v>95974</v>
      </c>
    </row>
    <row r="17" spans="1:16" ht="15" customHeight="1" x14ac:dyDescent="0.25">
      <c r="L17" s="143">
        <v>1</v>
      </c>
    </row>
    <row r="18" spans="1:16" x14ac:dyDescent="0.25">
      <c r="A18" t="s">
        <v>5</v>
      </c>
      <c r="D18" s="147" t="str">
        <f>$L$38</f>
        <v xml:space="preserve">toto </v>
      </c>
      <c r="E18" s="147"/>
      <c r="F18" s="147"/>
      <c r="G18" s="147"/>
      <c r="L18" s="144"/>
    </row>
    <row r="19" spans="1:16" ht="15" customHeight="1" x14ac:dyDescent="0.25">
      <c r="A19" t="s">
        <v>8</v>
      </c>
      <c r="D19" s="150">
        <f ca="1">TODAY()</f>
        <v>44944</v>
      </c>
      <c r="E19" s="151"/>
      <c r="F19" s="151"/>
      <c r="G19" s="151"/>
      <c r="L19" s="142">
        <v>95975</v>
      </c>
    </row>
    <row r="20" spans="1:16" ht="15" customHeight="1" x14ac:dyDescent="0.25">
      <c r="L20" s="143">
        <v>0</v>
      </c>
    </row>
    <row r="21" spans="1:16" x14ac:dyDescent="0.25">
      <c r="L21" s="144"/>
    </row>
    <row r="22" spans="1:16" ht="15" customHeight="1" x14ac:dyDescent="0.25">
      <c r="A22" t="s">
        <v>7</v>
      </c>
      <c r="D22" s="147" t="str">
        <f>$L$41</f>
        <v xml:space="preserve">horizal </v>
      </c>
      <c r="E22" s="147"/>
      <c r="F22" s="147"/>
      <c r="G22" s="147"/>
      <c r="L22" s="142">
        <v>95976</v>
      </c>
    </row>
    <row r="23" spans="1:16" ht="15" customHeight="1" x14ac:dyDescent="0.25">
      <c r="A23" t="s">
        <v>6</v>
      </c>
      <c r="D23" s="147" t="str">
        <f>$L$44</f>
        <v xml:space="preserve">174 route de lyon </v>
      </c>
      <c r="E23" s="147"/>
      <c r="F23" s="147"/>
      <c r="G23" s="147"/>
      <c r="L23" s="143">
        <v>0</v>
      </c>
    </row>
    <row r="24" spans="1:16" x14ac:dyDescent="0.25">
      <c r="A24" t="s">
        <v>71</v>
      </c>
      <c r="D24" s="147">
        <f>$L$47</f>
        <v>38300</v>
      </c>
      <c r="E24" s="147"/>
      <c r="F24" s="147"/>
      <c r="G24" s="147"/>
      <c r="L24" s="144"/>
    </row>
    <row r="25" spans="1:16" ht="15" customHeight="1" x14ac:dyDescent="0.25">
      <c r="A25" t="s">
        <v>59</v>
      </c>
      <c r="D25" s="154" t="str">
        <f>$L$50</f>
        <v xml:space="preserve">bourgoin jallieu </v>
      </c>
      <c r="E25" s="155"/>
      <c r="F25" s="155"/>
      <c r="G25" s="156"/>
      <c r="L25" s="142">
        <v>95973</v>
      </c>
    </row>
    <row r="26" spans="1:16" ht="15" customHeight="1" x14ac:dyDescent="0.25">
      <c r="A26" t="s">
        <v>45</v>
      </c>
      <c r="D26" s="147" t="str">
        <f>$L$53</f>
        <v xml:space="preserve">laurent </v>
      </c>
      <c r="E26" s="147"/>
      <c r="F26" s="147"/>
      <c r="G26" s="147"/>
      <c r="L26" s="143">
        <v>1</v>
      </c>
    </row>
    <row r="27" spans="1:16" x14ac:dyDescent="0.25">
      <c r="D27" s="148"/>
      <c r="E27" s="148"/>
      <c r="F27" s="148"/>
      <c r="G27" s="148"/>
      <c r="L27" s="144"/>
    </row>
    <row r="28" spans="1:16" ht="15" customHeight="1" x14ac:dyDescent="0.25">
      <c r="D28" s="152"/>
      <c r="E28" s="152"/>
      <c r="F28" s="152"/>
      <c r="G28" s="152"/>
      <c r="L28" s="142">
        <v>95978</v>
      </c>
    </row>
    <row r="29" spans="1:16" ht="15" customHeight="1" x14ac:dyDescent="0.25">
      <c r="A29" t="s">
        <v>10</v>
      </c>
      <c r="D29" s="153">
        <f>$L$56</f>
        <v>679704508</v>
      </c>
      <c r="E29" s="153"/>
      <c r="F29" s="153"/>
      <c r="G29" s="153"/>
      <c r="L29" s="143">
        <v>1</v>
      </c>
    </row>
    <row r="30" spans="1:16" ht="15" customHeight="1" x14ac:dyDescent="0.25">
      <c r="D30" s="149"/>
      <c r="E30" s="149"/>
      <c r="F30" s="149"/>
      <c r="G30" s="149"/>
      <c r="L30" s="144"/>
      <c r="P30" s="127"/>
    </row>
    <row r="31" spans="1:16" ht="15" customHeight="1" x14ac:dyDescent="0.25">
      <c r="L31" s="142">
        <v>95979</v>
      </c>
    </row>
    <row r="32" spans="1:16" ht="15" customHeight="1" x14ac:dyDescent="0.25">
      <c r="A32" t="s">
        <v>9</v>
      </c>
      <c r="D32" s="158" t="str">
        <f>$L$59</f>
        <v xml:space="preserve">laurentdelhorme@horizal.com </v>
      </c>
      <c r="E32" s="147"/>
      <c r="F32" s="147"/>
      <c r="G32" s="147"/>
      <c r="L32" s="143">
        <v>10</v>
      </c>
    </row>
    <row r="33" spans="9:17" x14ac:dyDescent="0.25">
      <c r="L33" s="144"/>
    </row>
    <row r="34" spans="9:17" ht="15" customHeight="1" x14ac:dyDescent="0.25">
      <c r="L34" s="142">
        <v>95977</v>
      </c>
    </row>
    <row r="35" spans="9:17" ht="15" customHeight="1" x14ac:dyDescent="0.25">
      <c r="L35" s="143">
        <v>1</v>
      </c>
    </row>
    <row r="36" spans="9:17" x14ac:dyDescent="0.25">
      <c r="L36" s="144"/>
    </row>
    <row r="37" spans="9:17" ht="15" customHeight="1" x14ac:dyDescent="0.25">
      <c r="I37" s="118"/>
      <c r="L37" s="142" t="s">
        <v>51</v>
      </c>
    </row>
    <row r="38" spans="9:17" ht="12" customHeight="1" x14ac:dyDescent="0.25">
      <c r="L38" s="143" t="s">
        <v>236</v>
      </c>
    </row>
    <row r="39" spans="9:17" ht="10.5" customHeight="1" x14ac:dyDescent="0.25">
      <c r="L39" s="144"/>
    </row>
    <row r="40" spans="9:17" ht="12.75" customHeight="1" x14ac:dyDescent="0.25">
      <c r="L40" s="142" t="s">
        <v>52</v>
      </c>
    </row>
    <row r="41" spans="9:17" ht="36" customHeight="1" x14ac:dyDescent="0.25">
      <c r="L41" s="143" t="s">
        <v>237</v>
      </c>
    </row>
    <row r="42" spans="9:17" x14ac:dyDescent="0.25">
      <c r="K42" s="118"/>
      <c r="L42" s="144"/>
    </row>
    <row r="43" spans="9:17" ht="12" customHeight="1" x14ac:dyDescent="0.35">
      <c r="L43" s="142" t="s">
        <v>53</v>
      </c>
      <c r="Q43" s="129"/>
    </row>
    <row r="44" spans="9:17" ht="11.25" customHeight="1" x14ac:dyDescent="0.25">
      <c r="L44" s="143" t="s">
        <v>238</v>
      </c>
    </row>
    <row r="45" spans="9:17" x14ac:dyDescent="0.25">
      <c r="L45" s="144"/>
    </row>
    <row r="46" spans="9:17" ht="15" customHeight="1" x14ac:dyDescent="0.25">
      <c r="L46" s="142" t="s">
        <v>54</v>
      </c>
    </row>
    <row r="47" spans="9:17" ht="15" customHeight="1" x14ac:dyDescent="0.25">
      <c r="L47" s="143">
        <v>38300</v>
      </c>
    </row>
    <row r="48" spans="9:17" ht="9.75" customHeight="1" x14ac:dyDescent="0.25">
      <c r="L48" s="144"/>
    </row>
    <row r="49" spans="1:16" ht="15" customHeight="1" x14ac:dyDescent="0.25">
      <c r="L49" s="142" t="s">
        <v>55</v>
      </c>
    </row>
    <row r="50" spans="1:16" ht="15" customHeight="1" x14ac:dyDescent="0.25">
      <c r="L50" s="143" t="s">
        <v>239</v>
      </c>
      <c r="N50" s="81"/>
    </row>
    <row r="51" spans="1:16" ht="15.75" customHeight="1" x14ac:dyDescent="0.35">
      <c r="L51" s="144"/>
      <c r="P51" s="129"/>
    </row>
    <row r="52" spans="1:16" ht="15" customHeight="1" x14ac:dyDescent="0.25">
      <c r="L52" s="142" t="s">
        <v>56</v>
      </c>
    </row>
    <row r="53" spans="1:16" ht="15" customHeight="1" x14ac:dyDescent="0.25">
      <c r="L53" s="143" t="s">
        <v>240</v>
      </c>
    </row>
    <row r="54" spans="1:16" x14ac:dyDescent="0.25">
      <c r="L54" s="144"/>
    </row>
    <row r="55" spans="1:16" ht="15" customHeight="1" x14ac:dyDescent="0.25">
      <c r="L55" s="142" t="s">
        <v>57</v>
      </c>
    </row>
    <row r="56" spans="1:16" ht="15" customHeight="1" x14ac:dyDescent="0.25">
      <c r="L56" s="143">
        <v>679704508</v>
      </c>
    </row>
    <row r="57" spans="1:16" x14ac:dyDescent="0.25">
      <c r="L57" s="144"/>
    </row>
    <row r="58" spans="1:16" ht="15.75" x14ac:dyDescent="0.25">
      <c r="L58" s="142" t="s">
        <v>58</v>
      </c>
    </row>
    <row r="59" spans="1:16" ht="15" customHeight="1" x14ac:dyDescent="0.25">
      <c r="L59" s="145" t="s">
        <v>241</v>
      </c>
    </row>
    <row r="60" spans="1:16" x14ac:dyDescent="0.25">
      <c r="L60" s="119"/>
    </row>
    <row r="61" spans="1:16" x14ac:dyDescent="0.25">
      <c r="L61" s="120"/>
    </row>
    <row r="62" spans="1:16" x14ac:dyDescent="0.25">
      <c r="A62" t="s">
        <v>107</v>
      </c>
      <c r="C62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Philippe ROUDIL</v>
      </c>
      <c r="L62" s="119"/>
    </row>
    <row r="63" spans="1:16" x14ac:dyDescent="0.25">
      <c r="A63" t="s">
        <v>109</v>
      </c>
      <c r="C63" t="str">
        <f>IF(LEFT($L$47,2)&lt;&gt;"75",VLOOKUP(LEFT(L$47,2),'Département Commerciaux'!A$4:$G$120,6,TRUE),VLOOKUP(L$47,'Département Commerciaux'!$A$4:$G$120,6,TRUE))</f>
        <v>06.11.86.06.24</v>
      </c>
      <c r="L63" s="119"/>
    </row>
    <row r="64" spans="1:16" x14ac:dyDescent="0.25">
      <c r="A64" t="s">
        <v>108</v>
      </c>
      <c r="C64" t="str">
        <f>IF(LEFT($L$47,2)&lt;&gt;"75",VLOOKUP(LEFT(L$47,2),'Département Commerciaux'!A$4:$G$120,7,TRUE),VLOOKUP(L$47,'Département Commerciaux'!$A$4:$G$120,7,TRUE))</f>
        <v>philipperoudil@horizal.com</v>
      </c>
      <c r="L64" s="119"/>
    </row>
    <row r="65" spans="1:17" x14ac:dyDescent="0.25">
      <c r="L65" s="119"/>
    </row>
    <row r="66" spans="1:17" x14ac:dyDescent="0.25">
      <c r="L66" s="119"/>
    </row>
    <row r="67" spans="1:17" x14ac:dyDescent="0.25">
      <c r="A67" s="130" t="s">
        <v>209</v>
      </c>
      <c r="C67" t="str">
        <f>$L$8&amp;" "&amp;$L$11</f>
        <v xml:space="preserve">5010 Mat </v>
      </c>
      <c r="L67" s="119"/>
    </row>
    <row r="68" spans="1:17" x14ac:dyDescent="0.25">
      <c r="A68" s="131"/>
      <c r="B68" s="131"/>
    </row>
    <row r="69" spans="1:17" x14ac:dyDescent="0.25">
      <c r="A69" s="131"/>
      <c r="B69" s="131"/>
    </row>
    <row r="70" spans="1:17" x14ac:dyDescent="0.25">
      <c r="A70" s="157" t="s">
        <v>11</v>
      </c>
      <c r="B70" s="157"/>
      <c r="C70" s="157"/>
    </row>
    <row r="71" spans="1:17" x14ac:dyDescent="0.25">
      <c r="A71" s="132" t="s">
        <v>0</v>
      </c>
      <c r="B71" s="133"/>
      <c r="C71" s="134" t="s">
        <v>1</v>
      </c>
      <c r="L71" s="135"/>
      <c r="M71" s="121"/>
      <c r="N71" s="135"/>
      <c r="O71" s="135"/>
      <c r="P71" s="135"/>
      <c r="Q71" s="135"/>
    </row>
    <row r="72" spans="1:17" ht="80.099999999999994" customHeight="1" x14ac:dyDescent="0.25">
      <c r="A72" s="136">
        <v>95970</v>
      </c>
      <c r="B72" s="133"/>
      <c r="C72" s="132">
        <f>$L$14</f>
        <v>1</v>
      </c>
      <c r="G72" s="126"/>
      <c r="H72" s="137">
        <f>C72*1468</f>
        <v>1468</v>
      </c>
      <c r="K72" s="126"/>
      <c r="L72" s="122"/>
      <c r="M72" s="121"/>
      <c r="N72" s="135"/>
      <c r="O72" s="135"/>
      <c r="P72" s="135"/>
      <c r="Q72" s="135"/>
    </row>
    <row r="73" spans="1:17" ht="80.099999999999994" customHeight="1" x14ac:dyDescent="0.25">
      <c r="A73" s="136">
        <v>95971</v>
      </c>
      <c r="B73" s="133"/>
      <c r="C73" s="138">
        <f>C72*3</f>
        <v>3</v>
      </c>
      <c r="G73" s="127"/>
      <c r="H73" s="137"/>
      <c r="K73" s="127"/>
      <c r="L73" s="135"/>
      <c r="M73" s="121"/>
      <c r="N73" s="135"/>
      <c r="O73" s="135"/>
      <c r="P73" s="135"/>
      <c r="Q73" s="135"/>
    </row>
    <row r="74" spans="1:17" ht="80.099999999999994" customHeight="1" x14ac:dyDescent="0.25">
      <c r="A74" s="136">
        <v>95972</v>
      </c>
      <c r="B74" s="133"/>
      <c r="C74" s="138">
        <f>IF(C72=0,0,IF((1473*C72)&lt;6500,1,ROUNDUP(H72/6500,0)))</f>
        <v>1</v>
      </c>
      <c r="G74" s="128"/>
      <c r="H74" s="137">
        <f>C74*6500</f>
        <v>6500</v>
      </c>
      <c r="J74" s="139"/>
      <c r="K74" s="128"/>
      <c r="L74" s="135"/>
      <c r="M74" s="121"/>
      <c r="N74" s="135"/>
      <c r="O74" s="135"/>
      <c r="P74" s="135"/>
      <c r="Q74" s="135"/>
    </row>
    <row r="75" spans="1:17" ht="20.100000000000001" customHeight="1" x14ac:dyDescent="0.25">
      <c r="A75" s="157" t="s">
        <v>2</v>
      </c>
      <c r="B75" s="157"/>
      <c r="C75" s="157"/>
      <c r="G75" s="126"/>
      <c r="K75" s="126"/>
      <c r="L75" s="135"/>
      <c r="M75" s="121"/>
      <c r="N75" s="135"/>
      <c r="O75" s="135"/>
      <c r="P75" s="135"/>
      <c r="Q75" s="135"/>
    </row>
    <row r="76" spans="1:17" ht="82.5" customHeight="1" x14ac:dyDescent="0.25">
      <c r="A76" s="136">
        <v>95974</v>
      </c>
      <c r="B76" s="133"/>
      <c r="C76" s="132">
        <f>$L$17</f>
        <v>1</v>
      </c>
      <c r="G76" s="127"/>
      <c r="K76" s="127"/>
      <c r="L76" s="135"/>
      <c r="M76" s="121"/>
      <c r="N76" s="135"/>
      <c r="O76" s="135"/>
      <c r="P76" s="135"/>
      <c r="Q76" s="135"/>
    </row>
    <row r="77" spans="1:17" ht="79.5" customHeight="1" x14ac:dyDescent="0.25">
      <c r="A77" s="136">
        <v>95975</v>
      </c>
      <c r="B77" s="133"/>
      <c r="C77" s="132">
        <f>$L$20</f>
        <v>0</v>
      </c>
      <c r="G77" s="128"/>
      <c r="K77" s="128"/>
      <c r="L77" s="135"/>
      <c r="M77" s="121"/>
      <c r="N77" s="135"/>
      <c r="O77" s="135"/>
      <c r="P77" s="135"/>
      <c r="Q77" s="135"/>
    </row>
    <row r="78" spans="1:17" ht="84" customHeight="1" x14ac:dyDescent="0.25">
      <c r="A78" s="136">
        <v>95976</v>
      </c>
      <c r="B78" s="133"/>
      <c r="C78" s="132">
        <f>$L$23</f>
        <v>0</v>
      </c>
      <c r="G78" s="126"/>
      <c r="K78" s="126"/>
      <c r="L78" s="135"/>
      <c r="M78" s="121"/>
      <c r="N78" s="135"/>
      <c r="O78" s="135"/>
      <c r="P78" s="135"/>
      <c r="Q78" s="135"/>
    </row>
    <row r="79" spans="1:17" ht="31.5" customHeight="1" x14ac:dyDescent="0.25">
      <c r="A79" s="140"/>
      <c r="C79" s="141"/>
      <c r="G79" s="127"/>
      <c r="K79" s="128"/>
    </row>
    <row r="80" spans="1:17" ht="20.100000000000001" customHeight="1" x14ac:dyDescent="0.25">
      <c r="A80" s="157" t="s">
        <v>3</v>
      </c>
      <c r="B80" s="157"/>
      <c r="C80" s="157"/>
      <c r="G80" s="128"/>
      <c r="K80" s="128"/>
    </row>
    <row r="81" spans="1:11" ht="80.099999999999994" customHeight="1" x14ac:dyDescent="0.25">
      <c r="A81" s="136">
        <v>95973</v>
      </c>
      <c r="B81" s="133"/>
      <c r="C81" s="132">
        <f>$L$26</f>
        <v>1</v>
      </c>
      <c r="G81" s="126"/>
      <c r="K81" s="126"/>
    </row>
    <row r="82" spans="1:11" ht="20.100000000000001" customHeight="1" x14ac:dyDescent="0.25">
      <c r="A82" s="157" t="s">
        <v>4</v>
      </c>
      <c r="B82" s="157"/>
      <c r="C82" s="157"/>
      <c r="G82" s="127"/>
      <c r="K82" s="127"/>
    </row>
    <row r="83" spans="1:11" ht="80.099999999999994" customHeight="1" x14ac:dyDescent="0.25">
      <c r="A83" s="136">
        <v>95978</v>
      </c>
      <c r="B83" s="133"/>
      <c r="C83" s="132">
        <f>$L$29</f>
        <v>1</v>
      </c>
      <c r="G83" s="128"/>
      <c r="K83" s="128"/>
    </row>
    <row r="84" spans="1:11" ht="80.099999999999994" customHeight="1" x14ac:dyDescent="0.25">
      <c r="A84" s="136">
        <v>95979</v>
      </c>
      <c r="B84" s="133"/>
      <c r="C84" s="132">
        <f>$L$32</f>
        <v>10</v>
      </c>
      <c r="G84" s="126"/>
      <c r="K84" s="126"/>
    </row>
    <row r="85" spans="1:11" ht="80.099999999999994" customHeight="1" x14ac:dyDescent="0.25">
      <c r="A85" s="136">
        <v>95977</v>
      </c>
      <c r="B85" s="133"/>
      <c r="C85" s="132">
        <f>$L$35</f>
        <v>1</v>
      </c>
      <c r="G85" s="127"/>
      <c r="K85" s="127"/>
    </row>
    <row r="86" spans="1:11" ht="99.95" customHeight="1" x14ac:dyDescent="0.25">
      <c r="G86" s="128"/>
      <c r="K86" s="128"/>
    </row>
    <row r="87" spans="1:11" ht="99.95" customHeight="1" x14ac:dyDescent="0.25">
      <c r="G87" s="126"/>
      <c r="K87" s="126"/>
    </row>
    <row r="88" spans="1:11" ht="99.95" hidden="1" customHeight="1" x14ac:dyDescent="0.25">
      <c r="G88" s="127"/>
      <c r="K88" s="127"/>
    </row>
    <row r="89" spans="1:11" ht="99.95" hidden="1" customHeight="1" x14ac:dyDescent="0.25">
      <c r="G89" s="128"/>
      <c r="K89" s="128"/>
    </row>
    <row r="90" spans="1:11" ht="99.95" hidden="1" customHeight="1" x14ac:dyDescent="0.25">
      <c r="G90" s="126"/>
      <c r="K90" s="126"/>
    </row>
    <row r="91" spans="1:11" ht="99.95" hidden="1" customHeight="1" x14ac:dyDescent="0.25">
      <c r="G91" s="127"/>
      <c r="K91" s="127"/>
    </row>
    <row r="92" spans="1:11" ht="99.95" hidden="1" customHeight="1" x14ac:dyDescent="0.25">
      <c r="G92" s="128"/>
      <c r="K92" s="128"/>
    </row>
    <row r="93" spans="1:11" ht="99.95" hidden="1" customHeight="1" x14ac:dyDescent="0.25">
      <c r="G93" s="126"/>
      <c r="K93" s="126"/>
    </row>
    <row r="94" spans="1:11" ht="99.95" customHeight="1" x14ac:dyDescent="0.25">
      <c r="G94" s="127"/>
      <c r="K94" s="127"/>
    </row>
    <row r="95" spans="1:11" ht="99.95" customHeight="1" x14ac:dyDescent="0.25">
      <c r="G95" s="128"/>
      <c r="K95" s="128"/>
    </row>
    <row r="96" spans="1:11" ht="99.95" customHeight="1" x14ac:dyDescent="0.25">
      <c r="G96" s="126"/>
      <c r="K96" s="126"/>
    </row>
    <row r="97" spans="7:11" ht="99.95" customHeight="1" x14ac:dyDescent="0.25">
      <c r="G97" s="127"/>
      <c r="K97" s="127"/>
    </row>
    <row r="98" spans="7:11" ht="99.95" customHeight="1" x14ac:dyDescent="0.25">
      <c r="G98" s="128"/>
      <c r="K98" s="128"/>
    </row>
    <row r="99" spans="7:11" ht="99.95" customHeight="1" x14ac:dyDescent="0.25">
      <c r="G99" s="126"/>
      <c r="K99" s="126"/>
    </row>
    <row r="100" spans="7:11" ht="99.95" customHeight="1" x14ac:dyDescent="0.25">
      <c r="G100" s="127"/>
      <c r="K100" s="127"/>
    </row>
    <row r="101" spans="7:11" ht="99.95" customHeight="1" x14ac:dyDescent="0.25">
      <c r="G101" s="128"/>
      <c r="K101" s="128"/>
    </row>
    <row r="102" spans="7:11" ht="99.95" customHeight="1" x14ac:dyDescent="0.25">
      <c r="G102" s="126"/>
      <c r="K102" s="126"/>
    </row>
    <row r="103" spans="7:11" ht="99.95" customHeight="1" x14ac:dyDescent="0.25">
      <c r="G103" s="127"/>
      <c r="K103" s="127"/>
    </row>
    <row r="104" spans="7:11" ht="99.95" customHeight="1" x14ac:dyDescent="0.25">
      <c r="G104" s="128"/>
      <c r="K104" s="128"/>
    </row>
    <row r="105" spans="7:11" ht="99.95" customHeight="1" x14ac:dyDescent="0.25">
      <c r="G105" s="126"/>
      <c r="K105" s="126"/>
    </row>
    <row r="106" spans="7:11" ht="99.95" customHeight="1" x14ac:dyDescent="0.25">
      <c r="G106" s="127"/>
      <c r="K106" s="127"/>
    </row>
    <row r="107" spans="7:11" ht="99.95" customHeight="1" x14ac:dyDescent="0.25">
      <c r="G107" s="128"/>
      <c r="K107" s="128"/>
    </row>
    <row r="108" spans="7:11" ht="99.95" customHeight="1" x14ac:dyDescent="0.25">
      <c r="G108" s="126"/>
      <c r="K108" s="126"/>
    </row>
    <row r="109" spans="7:11" ht="99.95" customHeight="1" x14ac:dyDescent="0.25">
      <c r="G109" s="127"/>
      <c r="K109" s="127"/>
    </row>
    <row r="110" spans="7:11" ht="99.95" customHeight="1" x14ac:dyDescent="0.25">
      <c r="G110" s="128"/>
      <c r="K110" s="128"/>
    </row>
    <row r="111" spans="7:11" ht="99.95" customHeight="1" x14ac:dyDescent="0.25">
      <c r="G111" s="126"/>
      <c r="K111" s="126"/>
    </row>
    <row r="112" spans="7:11" ht="99.95" customHeight="1" x14ac:dyDescent="0.25">
      <c r="G112" s="127"/>
      <c r="K112" s="127"/>
    </row>
    <row r="113" spans="7:11" ht="99.95" customHeight="1" x14ac:dyDescent="0.25">
      <c r="G113" s="128"/>
      <c r="K113" s="128"/>
    </row>
    <row r="114" spans="7:11" ht="99.95" customHeight="1" x14ac:dyDescent="0.25">
      <c r="G114" s="126"/>
      <c r="K114" s="126"/>
    </row>
    <row r="115" spans="7:11" ht="99.95" customHeight="1" x14ac:dyDescent="0.25">
      <c r="G115" s="127"/>
      <c r="K115" s="127"/>
    </row>
    <row r="116" spans="7:11" ht="99.95" customHeight="1" x14ac:dyDescent="0.25">
      <c r="G116" s="128"/>
      <c r="K116" s="128"/>
    </row>
    <row r="117" spans="7:11" ht="99.95" customHeight="1" x14ac:dyDescent="0.25">
      <c r="G117" s="126"/>
      <c r="K117" s="126"/>
    </row>
    <row r="118" spans="7:11" ht="99.95" customHeight="1" x14ac:dyDescent="0.25">
      <c r="G118" s="119"/>
      <c r="K118" s="119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customFormat="1" ht="99.95" customHeight="1" x14ac:dyDescent="0.25"/>
    <row r="130" customFormat="1" ht="99.95" customHeight="1" x14ac:dyDescent="0.25"/>
    <row r="131" customFormat="1" ht="99.95" customHeight="1" x14ac:dyDescent="0.25"/>
    <row r="132" customFormat="1" ht="99.95" customHeight="1" x14ac:dyDescent="0.25"/>
    <row r="133" customFormat="1" ht="99.95" customHeight="1" x14ac:dyDescent="0.25"/>
    <row r="134" customFormat="1" ht="99.95" customHeight="1" x14ac:dyDescent="0.25"/>
    <row r="135" customFormat="1" ht="99.95" customHeight="1" x14ac:dyDescent="0.25"/>
    <row r="136" customFormat="1" ht="99.95" customHeight="1" x14ac:dyDescent="0.25"/>
    <row r="137" customFormat="1" ht="99.95" customHeight="1" x14ac:dyDescent="0.25"/>
    <row r="138" customFormat="1" ht="99.95" customHeight="1" x14ac:dyDescent="0.25"/>
    <row r="139" customFormat="1" ht="99.95" customHeight="1" x14ac:dyDescent="0.25"/>
    <row r="140" customFormat="1" ht="99.95" customHeight="1" x14ac:dyDescent="0.25"/>
    <row r="141" customFormat="1" ht="99.95" customHeight="1" x14ac:dyDescent="0.25"/>
  </sheetData>
  <sheetProtection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9" r:id="rId1" display="mailto:laurentdelhorme@horizal.com" xr:uid="{74C6A60E-9460-4CCD-8CE6-DC94585F6E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71"/>
  <sheetViews>
    <sheetView showGridLines="0" tabSelected="1" topLeftCell="A73" zoomScaleNormal="100" workbookViewId="0">
      <selection activeCell="U114" sqref="U114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6" width="10.7109375" style="3" customWidth="1"/>
    <col min="7" max="7" width="8.7109375" style="3" customWidth="1"/>
    <col min="8" max="8" width="17" style="16" customWidth="1"/>
    <col min="9" max="10" width="21.140625" style="6" hidden="1" customWidth="1"/>
    <col min="11" max="16384" width="10.7109375" style="6"/>
  </cols>
  <sheetData>
    <row r="1" spans="1:10" ht="14.1" customHeight="1" x14ac:dyDescent="0.2">
      <c r="A1" s="1"/>
      <c r="B1" s="2"/>
      <c r="E1" s="4" t="s">
        <v>12</v>
      </c>
      <c r="F1" s="164">
        <f ca="1">'Demande de prix'!$D$19</f>
        <v>44944</v>
      </c>
      <c r="G1" s="165"/>
      <c r="H1" s="166"/>
      <c r="I1" s="5">
        <f>H149</f>
        <v>486.09999999999997</v>
      </c>
      <c r="J1" s="5"/>
    </row>
    <row r="2" spans="1:10" ht="14.1" customHeight="1" x14ac:dyDescent="0.2">
      <c r="A2" s="7"/>
      <c r="B2" s="8"/>
      <c r="E2" s="4"/>
      <c r="F2" s="167"/>
      <c r="G2" s="165"/>
      <c r="H2" s="166"/>
    </row>
    <row r="3" spans="1:10" ht="14.1" customHeight="1" x14ac:dyDescent="0.2">
      <c r="A3" s="7"/>
      <c r="B3" s="7"/>
      <c r="E3" s="9" t="s">
        <v>13</v>
      </c>
      <c r="F3" s="182" t="str">
        <f>'Demande de prix'!$D$18</f>
        <v xml:space="preserve">toto </v>
      </c>
      <c r="G3" s="183"/>
      <c r="H3" s="184"/>
    </row>
    <row r="4" spans="1:10" ht="15" x14ac:dyDescent="0.2">
      <c r="A4" s="7"/>
      <c r="B4" s="7"/>
      <c r="E4" s="124"/>
      <c r="F4" s="185"/>
      <c r="G4" s="185"/>
      <c r="H4" s="186"/>
    </row>
    <row r="5" spans="1:10" x14ac:dyDescent="0.2">
      <c r="A5" s="7"/>
      <c r="B5" s="7"/>
      <c r="C5" s="7"/>
      <c r="D5" s="7"/>
      <c r="E5" s="168"/>
      <c r="F5" s="169"/>
      <c r="G5" s="169"/>
      <c r="H5" s="170"/>
    </row>
    <row r="6" spans="1:10" x14ac:dyDescent="0.2">
      <c r="A6" s="7"/>
      <c r="B6" s="7"/>
      <c r="C6" s="7"/>
      <c r="D6" s="7"/>
      <c r="E6" s="7"/>
      <c r="F6" s="7"/>
      <c r="H6" s="6"/>
    </row>
    <row r="7" spans="1:10" x14ac:dyDescent="0.2">
      <c r="B7" s="7"/>
      <c r="C7" s="7"/>
      <c r="D7" s="7"/>
      <c r="E7" s="10"/>
      <c r="H7" s="6"/>
    </row>
    <row r="8" spans="1:10" x14ac:dyDescent="0.2">
      <c r="A8" s="7" t="s">
        <v>49</v>
      </c>
      <c r="E8" s="8"/>
      <c r="F8" s="11" t="str">
        <f>'Demande de prix'!$D$22</f>
        <v xml:space="preserve">horizal </v>
      </c>
      <c r="H8" s="6"/>
    </row>
    <row r="9" spans="1:10" ht="15" x14ac:dyDescent="0.25">
      <c r="A9" s="53" t="s">
        <v>50</v>
      </c>
      <c r="E9" s="7"/>
      <c r="F9" s="7" t="str">
        <f>'Demande de prix'!$D$23</f>
        <v xml:space="preserve">174 route de lyon </v>
      </c>
      <c r="H9" s="6"/>
    </row>
    <row r="10" spans="1:10" x14ac:dyDescent="0.2">
      <c r="E10" s="7"/>
      <c r="F10" s="7">
        <f>'Demande de prix'!$D$24</f>
        <v>38300</v>
      </c>
      <c r="G10" s="3" t="str">
        <f>'Demande de prix'!$D$25</f>
        <v xml:space="preserve">bourgoin jallieu </v>
      </c>
      <c r="H10" s="6"/>
    </row>
    <row r="11" spans="1:10" x14ac:dyDescent="0.2">
      <c r="F11" s="54"/>
      <c r="G11" s="54"/>
      <c r="H11" s="6"/>
    </row>
    <row r="12" spans="1:10" x14ac:dyDescent="0.2">
      <c r="F12" s="54"/>
      <c r="G12" s="54"/>
      <c r="H12" s="6"/>
    </row>
    <row r="13" spans="1:10" x14ac:dyDescent="0.2">
      <c r="H13" s="6"/>
    </row>
    <row r="14" spans="1:10" x14ac:dyDescent="0.2">
      <c r="A14" s="3" t="s">
        <v>48</v>
      </c>
      <c r="C14" s="3" t="str">
        <f>'Demande de prix'!$D$26</f>
        <v xml:space="preserve">laurent </v>
      </c>
      <c r="H14" s="6"/>
      <c r="I14" s="12"/>
      <c r="J14" s="12"/>
    </row>
    <row r="15" spans="1:10" x14ac:dyDescent="0.2">
      <c r="A15" s="3" t="s">
        <v>61</v>
      </c>
      <c r="C15" s="55">
        <f>'Demande de prix'!$D$29</f>
        <v>679704508</v>
      </c>
      <c r="H15" s="6"/>
      <c r="I15" s="12" t="s">
        <v>14</v>
      </c>
      <c r="J15" s="12" t="s">
        <v>15</v>
      </c>
    </row>
    <row r="16" spans="1:10" x14ac:dyDescent="0.2">
      <c r="C16" s="55"/>
      <c r="H16" s="6"/>
      <c r="I16" s="12"/>
      <c r="J16" s="12"/>
    </row>
    <row r="17" spans="2:10" x14ac:dyDescent="0.2">
      <c r="C17" s="55"/>
      <c r="H17" s="6"/>
      <c r="I17" s="12"/>
      <c r="J17" s="12"/>
    </row>
    <row r="18" spans="2:10" ht="15" x14ac:dyDescent="0.25">
      <c r="B18" s="13"/>
      <c r="H18" s="6"/>
      <c r="I18" s="14">
        <v>1521.5971618783999</v>
      </c>
      <c r="J18" s="6" t="e">
        <f>LOOKUP(I18,#REF!,#REF!)</f>
        <v>#REF!</v>
      </c>
    </row>
    <row r="19" spans="2:10" ht="14.25" x14ac:dyDescent="0.2">
      <c r="B19" s="15" t="s">
        <v>16</v>
      </c>
      <c r="H19" s="6"/>
    </row>
    <row r="20" spans="2:10" x14ac:dyDescent="0.2">
      <c r="H20" s="6"/>
    </row>
    <row r="21" spans="2:10" x14ac:dyDescent="0.2">
      <c r="H21" s="6"/>
    </row>
    <row r="22" spans="2:10" x14ac:dyDescent="0.2">
      <c r="H22" s="6"/>
    </row>
    <row r="23" spans="2:10" x14ac:dyDescent="0.2">
      <c r="H23" s="6"/>
    </row>
    <row r="24" spans="2:10" x14ac:dyDescent="0.2">
      <c r="H24" s="6"/>
    </row>
    <row r="25" spans="2:10" x14ac:dyDescent="0.2">
      <c r="H25" s="6"/>
    </row>
    <row r="26" spans="2:10" x14ac:dyDescent="0.2">
      <c r="H26" s="6"/>
    </row>
    <row r="27" spans="2:10" x14ac:dyDescent="0.2">
      <c r="H27" s="6"/>
    </row>
    <row r="28" spans="2:10" x14ac:dyDescent="0.2">
      <c r="H28" s="6"/>
    </row>
    <row r="29" spans="2:10" x14ac:dyDescent="0.2">
      <c r="H29" s="6"/>
    </row>
    <row r="30" spans="2:10" x14ac:dyDescent="0.2">
      <c r="H30" s="6"/>
    </row>
    <row r="31" spans="2:10" x14ac:dyDescent="0.2">
      <c r="H31" s="6"/>
    </row>
    <row r="32" spans="2:10" x14ac:dyDescent="0.2">
      <c r="H32" s="6"/>
    </row>
    <row r="33" spans="5:13" x14ac:dyDescent="0.2">
      <c r="H33" s="6"/>
    </row>
    <row r="34" spans="5:13" x14ac:dyDescent="0.2">
      <c r="H34" s="6"/>
    </row>
    <row r="35" spans="5:13" x14ac:dyDescent="0.2">
      <c r="H35" s="6"/>
    </row>
    <row r="36" spans="5:13" x14ac:dyDescent="0.2">
      <c r="H36" s="6"/>
    </row>
    <row r="37" spans="5:13" x14ac:dyDescent="0.2">
      <c r="H37" s="6"/>
      <c r="M37" s="12"/>
    </row>
    <row r="38" spans="5:13" ht="14.25" x14ac:dyDescent="0.2">
      <c r="E38" s="15"/>
      <c r="F38" s="15"/>
      <c r="H38" s="6"/>
    </row>
    <row r="39" spans="5:13" x14ac:dyDescent="0.2">
      <c r="H39" s="6"/>
    </row>
    <row r="40" spans="5:13" x14ac:dyDescent="0.2">
      <c r="H40" s="6"/>
    </row>
    <row r="41" spans="5:13" x14ac:dyDescent="0.2">
      <c r="H41" s="6"/>
    </row>
    <row r="42" spans="5:13" x14ac:dyDescent="0.2">
      <c r="H42" s="6"/>
    </row>
    <row r="43" spans="5:13" x14ac:dyDescent="0.2">
      <c r="H43" s="6"/>
    </row>
    <row r="44" spans="5:13" x14ac:dyDescent="0.2">
      <c r="H44" s="6"/>
    </row>
    <row r="45" spans="5:13" x14ac:dyDescent="0.2">
      <c r="H45" s="6"/>
    </row>
    <row r="46" spans="5:13" x14ac:dyDescent="0.2">
      <c r="H46" s="6"/>
    </row>
    <row r="47" spans="5:13" x14ac:dyDescent="0.2">
      <c r="H47" s="6"/>
    </row>
    <row r="48" spans="5:13" x14ac:dyDescent="0.2">
      <c r="H48" s="6"/>
    </row>
    <row r="49" spans="1:8" x14ac:dyDescent="0.2">
      <c r="F49" s="3" t="s">
        <v>60</v>
      </c>
      <c r="H49" s="6"/>
    </row>
    <row r="50" spans="1:8" x14ac:dyDescent="0.2">
      <c r="H50" s="6"/>
    </row>
    <row r="51" spans="1:8" x14ac:dyDescent="0.2">
      <c r="H51" s="6"/>
    </row>
    <row r="52" spans="1:8" x14ac:dyDescent="0.2">
      <c r="H52" s="3"/>
    </row>
    <row r="55" spans="1:8" x14ac:dyDescent="0.2">
      <c r="H55" s="6"/>
    </row>
    <row r="56" spans="1:8" ht="44.25" customHeight="1" x14ac:dyDescent="0.2">
      <c r="H56" s="6"/>
    </row>
    <row r="57" spans="1:8" x14ac:dyDescent="0.2">
      <c r="H57" s="6"/>
    </row>
    <row r="58" spans="1:8" x14ac:dyDescent="0.2">
      <c r="H58" s="6"/>
    </row>
    <row r="59" spans="1:8" x14ac:dyDescent="0.2">
      <c r="H59" s="6"/>
    </row>
    <row r="60" spans="1:8" x14ac:dyDescent="0.2">
      <c r="H60" s="6"/>
    </row>
    <row r="61" spans="1:8" x14ac:dyDescent="0.2">
      <c r="H61" s="6"/>
    </row>
    <row r="62" spans="1:8" x14ac:dyDescent="0.2">
      <c r="H62" s="6"/>
    </row>
    <row r="63" spans="1:8" x14ac:dyDescent="0.2">
      <c r="A63" s="161" t="s">
        <v>17</v>
      </c>
      <c r="B63" s="162"/>
      <c r="C63" s="162"/>
      <c r="D63" s="162"/>
      <c r="E63" s="162"/>
      <c r="F63" s="162"/>
      <c r="G63" s="163"/>
      <c r="H63" s="18" t="s">
        <v>18</v>
      </c>
    </row>
    <row r="64" spans="1:8" ht="8.1" customHeight="1" x14ac:dyDescent="0.2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25">
      <c r="A65" s="22"/>
      <c r="C65" s="3" t="s">
        <v>203</v>
      </c>
      <c r="H65" s="24"/>
    </row>
    <row r="66" spans="1:16" ht="14.1" customHeight="1" x14ac:dyDescent="0.25">
      <c r="A66" s="22"/>
      <c r="C66" s="91" t="s">
        <v>210</v>
      </c>
      <c r="D66" s="23" t="str">
        <f>'Demande de prix'!$C$67</f>
        <v xml:space="preserve">5010 Mat </v>
      </c>
      <c r="H66" s="24"/>
      <c r="M66"/>
    </row>
    <row r="67" spans="1:16" ht="14.1" customHeight="1" x14ac:dyDescent="0.2">
      <c r="A67" s="22"/>
      <c r="C67" s="91" t="s">
        <v>233</v>
      </c>
      <c r="H67" s="24"/>
    </row>
    <row r="68" spans="1:16" x14ac:dyDescent="0.2">
      <c r="A68" s="22"/>
      <c r="C68" s="3" t="s">
        <v>19</v>
      </c>
      <c r="H68" s="24"/>
    </row>
    <row r="69" spans="1:16" ht="15" x14ac:dyDescent="0.25">
      <c r="A69" s="22"/>
      <c r="C69" s="3" t="s">
        <v>20</v>
      </c>
      <c r="H69" s="24"/>
    </row>
    <row r="70" spans="1:16" ht="14.1" customHeight="1" x14ac:dyDescent="0.2">
      <c r="A70" s="22"/>
      <c r="C70" s="3" t="s">
        <v>21</v>
      </c>
      <c r="H70" s="24"/>
    </row>
    <row r="71" spans="1:16" s="12" customFormat="1" ht="15" customHeight="1" x14ac:dyDescent="0.2">
      <c r="A71" s="22"/>
      <c r="B71" s="3"/>
      <c r="C71" s="125" t="s">
        <v>232</v>
      </c>
      <c r="D71" s="3"/>
      <c r="E71" s="3"/>
      <c r="F71" s="3"/>
      <c r="G71" s="3"/>
      <c r="H71" s="24"/>
    </row>
    <row r="72" spans="1:16" ht="15.75" x14ac:dyDescent="0.25">
      <c r="A72" s="22"/>
      <c r="C72" s="3" t="s">
        <v>41</v>
      </c>
      <c r="D72" s="92"/>
      <c r="E72" s="93">
        <f>'Demande de prix'!$C$72</f>
        <v>1</v>
      </c>
      <c r="F72" s="175"/>
      <c r="G72" s="176"/>
      <c r="H72" s="24"/>
    </row>
    <row r="73" spans="1:16" ht="8.1" customHeight="1" x14ac:dyDescent="0.2">
      <c r="A73" s="22"/>
      <c r="E73" s="94"/>
      <c r="H73" s="24"/>
    </row>
    <row r="74" spans="1:16" x14ac:dyDescent="0.2">
      <c r="A74" s="95" t="s">
        <v>72</v>
      </c>
      <c r="H74" s="24"/>
    </row>
    <row r="75" spans="1:16" ht="13.5" thickBot="1" x14ac:dyDescent="0.25">
      <c r="A75" s="22"/>
      <c r="C75" s="3" t="s">
        <v>22</v>
      </c>
      <c r="H75" s="24"/>
    </row>
    <row r="76" spans="1:16" x14ac:dyDescent="0.2">
      <c r="A76" s="28"/>
      <c r="B76" s="29"/>
      <c r="C76" s="30" t="s">
        <v>23</v>
      </c>
      <c r="D76" s="31"/>
      <c r="E76" s="31"/>
      <c r="F76" s="31"/>
      <c r="G76" s="31"/>
      <c r="H76" s="96">
        <f>E72*O76</f>
        <v>141</v>
      </c>
      <c r="N76" s="6" t="s">
        <v>43</v>
      </c>
      <c r="O76" s="6">
        <v>141</v>
      </c>
      <c r="P76" s="97" t="s">
        <v>211</v>
      </c>
    </row>
    <row r="77" spans="1:16" ht="8.1" customHeight="1" x14ac:dyDescent="0.2">
      <c r="A77" s="19"/>
      <c r="B77" s="20"/>
      <c r="C77" s="20"/>
      <c r="D77" s="20"/>
      <c r="E77" s="20"/>
      <c r="F77" s="20"/>
      <c r="G77" s="20"/>
      <c r="H77" s="21"/>
    </row>
    <row r="78" spans="1:16" x14ac:dyDescent="0.2">
      <c r="A78" s="22"/>
      <c r="C78" s="3" t="s">
        <v>62</v>
      </c>
      <c r="H78" s="24"/>
    </row>
    <row r="79" spans="1:16" x14ac:dyDescent="0.2">
      <c r="A79" s="22"/>
      <c r="C79" s="99" t="s">
        <v>220</v>
      </c>
      <c r="D79" s="23"/>
      <c r="H79" s="24"/>
    </row>
    <row r="80" spans="1:16" x14ac:dyDescent="0.2">
      <c r="A80" s="22"/>
      <c r="C80" s="3" t="s">
        <v>42</v>
      </c>
      <c r="D80" s="3">
        <f>'Demande de prix'!$C$73</f>
        <v>3</v>
      </c>
      <c r="H80" s="24"/>
    </row>
    <row r="81" spans="1:16" ht="8.1" customHeight="1" thickBot="1" x14ac:dyDescent="0.25">
      <c r="A81" s="22"/>
      <c r="H81" s="24"/>
    </row>
    <row r="82" spans="1:16" x14ac:dyDescent="0.2">
      <c r="A82" s="22"/>
      <c r="C82" s="26" t="s">
        <v>23</v>
      </c>
      <c r="D82" s="27"/>
      <c r="E82" s="27"/>
      <c r="F82" s="27"/>
      <c r="G82" s="27"/>
      <c r="H82" s="96">
        <f>'Demande de prix'!C73</f>
        <v>3</v>
      </c>
      <c r="N82" s="6" t="s">
        <v>43</v>
      </c>
      <c r="O82" s="6">
        <v>4.3</v>
      </c>
      <c r="P82" s="97" t="s">
        <v>211</v>
      </c>
    </row>
    <row r="83" spans="1:16" ht="8.1" customHeight="1" x14ac:dyDescent="0.2">
      <c r="A83" s="19"/>
      <c r="B83" s="20"/>
      <c r="C83" s="20"/>
      <c r="D83" s="20"/>
      <c r="E83" s="20"/>
      <c r="F83" s="20"/>
      <c r="G83" s="20"/>
      <c r="H83" s="21"/>
    </row>
    <row r="84" spans="1:16" x14ac:dyDescent="0.2">
      <c r="A84" s="22"/>
      <c r="C84" s="3" t="s">
        <v>214</v>
      </c>
      <c r="F84" s="98" t="str">
        <f>'Demande de prix'!$C$67</f>
        <v xml:space="preserve">5010 Mat </v>
      </c>
      <c r="G84" s="3" t="s">
        <v>215</v>
      </c>
      <c r="H84" s="24"/>
    </row>
    <row r="85" spans="1:16" x14ac:dyDescent="0.2">
      <c r="A85" s="22"/>
      <c r="C85" s="3" t="s">
        <v>63</v>
      </c>
      <c r="D85" s="3">
        <f>'Demande de prix'!$C$74</f>
        <v>1</v>
      </c>
      <c r="H85" s="24"/>
    </row>
    <row r="86" spans="1:16" ht="8.1" customHeight="1" thickBot="1" x14ac:dyDescent="0.25">
      <c r="A86" s="22"/>
      <c r="H86" s="24"/>
    </row>
    <row r="87" spans="1:16" x14ac:dyDescent="0.2">
      <c r="A87" s="22"/>
      <c r="C87" s="26" t="s">
        <v>23</v>
      </c>
      <c r="D87" s="27"/>
      <c r="E87" s="27"/>
      <c r="F87" s="27"/>
      <c r="G87" s="27"/>
      <c r="H87" s="96">
        <f>'Demande de prix'!C74</f>
        <v>1</v>
      </c>
      <c r="N87" s="6" t="s">
        <v>43</v>
      </c>
      <c r="O87" s="6">
        <v>49</v>
      </c>
      <c r="P87" s="97" t="s">
        <v>211</v>
      </c>
    </row>
    <row r="88" spans="1:16" ht="8.1" customHeight="1" x14ac:dyDescent="0.2">
      <c r="A88" s="19"/>
      <c r="B88" s="20"/>
      <c r="C88" s="20"/>
      <c r="D88" s="20"/>
      <c r="E88" s="20"/>
      <c r="F88" s="20"/>
      <c r="G88" s="20"/>
      <c r="H88" s="21"/>
    </row>
    <row r="89" spans="1:16" x14ac:dyDescent="0.2">
      <c r="A89" s="22"/>
      <c r="C89" s="3" t="s">
        <v>64</v>
      </c>
      <c r="F89" s="100" t="s">
        <v>216</v>
      </c>
      <c r="G89" s="23" t="s">
        <v>217</v>
      </c>
      <c r="H89" s="24"/>
    </row>
    <row r="90" spans="1:16" x14ac:dyDescent="0.2">
      <c r="A90" s="22"/>
      <c r="C90" s="89" t="s">
        <v>204</v>
      </c>
      <c r="H90" s="24"/>
    </row>
    <row r="91" spans="1:16" x14ac:dyDescent="0.2">
      <c r="A91" s="22"/>
      <c r="C91" s="3" t="s">
        <v>42</v>
      </c>
      <c r="D91" s="3">
        <f>'Demande de prix'!$C$76</f>
        <v>1</v>
      </c>
      <c r="H91" s="24"/>
    </row>
    <row r="92" spans="1:16" ht="8.1" customHeight="1" thickBot="1" x14ac:dyDescent="0.25">
      <c r="A92" s="22"/>
      <c r="H92" s="24"/>
    </row>
    <row r="93" spans="1:16" x14ac:dyDescent="0.2">
      <c r="A93" s="22"/>
      <c r="C93" s="26" t="s">
        <v>23</v>
      </c>
      <c r="D93" s="27"/>
      <c r="E93" s="27"/>
      <c r="F93" s="27"/>
      <c r="G93" s="27"/>
      <c r="H93" s="96">
        <f>D91*O93</f>
        <v>4.2</v>
      </c>
      <c r="N93" s="6" t="s">
        <v>43</v>
      </c>
      <c r="O93" s="6">
        <v>4.2</v>
      </c>
      <c r="P93" s="97" t="s">
        <v>211</v>
      </c>
    </row>
    <row r="94" spans="1:16" ht="8.1" hidden="1" customHeight="1" x14ac:dyDescent="0.2">
      <c r="A94" s="19"/>
      <c r="B94" s="20"/>
      <c r="C94" s="20"/>
      <c r="D94" s="20"/>
      <c r="E94" s="20"/>
      <c r="F94" s="20"/>
      <c r="G94" s="20"/>
      <c r="H94" s="21"/>
    </row>
    <row r="95" spans="1:16" hidden="1" x14ac:dyDescent="0.2">
      <c r="A95" s="22"/>
      <c r="C95" s="3" t="s">
        <v>65</v>
      </c>
      <c r="E95" s="100"/>
      <c r="F95" s="100" t="s">
        <v>210</v>
      </c>
      <c r="G95" s="23" t="str">
        <f>'Demande de prix'!$C$67</f>
        <v xml:space="preserve">5010 Mat </v>
      </c>
      <c r="H95" s="24"/>
    </row>
    <row r="96" spans="1:16" hidden="1" x14ac:dyDescent="0.2">
      <c r="A96" s="22"/>
      <c r="C96" s="89" t="s">
        <v>205</v>
      </c>
      <c r="H96" s="24"/>
    </row>
    <row r="97" spans="1:16" hidden="1" x14ac:dyDescent="0.2">
      <c r="A97" s="22"/>
      <c r="C97" s="3" t="s">
        <v>42</v>
      </c>
      <c r="D97" s="3">
        <f>'Demande de prix'!$C$77</f>
        <v>0</v>
      </c>
      <c r="H97" s="24"/>
    </row>
    <row r="98" spans="1:16" ht="8.1" hidden="1" customHeight="1" thickBot="1" x14ac:dyDescent="0.25">
      <c r="A98" s="22"/>
      <c r="H98" s="24"/>
    </row>
    <row r="99" spans="1:16" hidden="1" x14ac:dyDescent="0.2">
      <c r="A99" s="22"/>
      <c r="C99" s="26" t="s">
        <v>23</v>
      </c>
      <c r="D99" s="27"/>
      <c r="E99" s="27"/>
      <c r="F99" s="27"/>
      <c r="G99" s="27"/>
      <c r="H99" s="96">
        <f>D97*O99</f>
        <v>0</v>
      </c>
      <c r="N99" s="6" t="s">
        <v>43</v>
      </c>
      <c r="O99" s="6">
        <v>13.5</v>
      </c>
      <c r="P99" s="97" t="s">
        <v>211</v>
      </c>
    </row>
    <row r="100" spans="1:16" ht="8.1" hidden="1" customHeight="1" x14ac:dyDescent="0.2">
      <c r="A100" s="19"/>
      <c r="B100" s="20"/>
      <c r="C100" s="20"/>
      <c r="D100" s="20"/>
      <c r="E100" s="20"/>
      <c r="F100" s="20"/>
      <c r="G100" s="20"/>
      <c r="H100" s="21"/>
    </row>
    <row r="101" spans="1:16" hidden="1" x14ac:dyDescent="0.2">
      <c r="A101" s="22"/>
      <c r="C101" s="3" t="s">
        <v>66</v>
      </c>
      <c r="F101" s="100" t="s">
        <v>210</v>
      </c>
      <c r="G101" s="23" t="str">
        <f>'Demande de prix'!$C$67</f>
        <v xml:space="preserve">5010 Mat </v>
      </c>
      <c r="H101" s="24"/>
    </row>
    <row r="102" spans="1:16" hidden="1" x14ac:dyDescent="0.2">
      <c r="A102" s="22"/>
      <c r="C102" s="90" t="s">
        <v>206</v>
      </c>
      <c r="H102" s="24"/>
    </row>
    <row r="103" spans="1:16" hidden="1" x14ac:dyDescent="0.2">
      <c r="A103" s="22"/>
      <c r="C103" s="3" t="s">
        <v>42</v>
      </c>
      <c r="D103" s="3">
        <f>'Demande de prix'!$C$78</f>
        <v>0</v>
      </c>
      <c r="H103" s="24"/>
      <c r="K103" s="100"/>
    </row>
    <row r="104" spans="1:16" ht="8.1" hidden="1" customHeight="1" thickBot="1" x14ac:dyDescent="0.25">
      <c r="A104" s="22"/>
      <c r="H104" s="24"/>
    </row>
    <row r="105" spans="1:16" hidden="1" x14ac:dyDescent="0.2">
      <c r="A105" s="22"/>
      <c r="C105" s="26" t="s">
        <v>23</v>
      </c>
      <c r="D105" s="27"/>
      <c r="E105" s="27"/>
      <c r="F105" s="27"/>
      <c r="G105" s="27"/>
      <c r="H105" s="96">
        <f>D103*O105</f>
        <v>0</v>
      </c>
      <c r="N105" s="6" t="s">
        <v>43</v>
      </c>
      <c r="O105" s="6">
        <v>32</v>
      </c>
      <c r="P105" s="97" t="s">
        <v>211</v>
      </c>
    </row>
    <row r="106" spans="1:16" ht="8.1" customHeight="1" x14ac:dyDescent="0.2">
      <c r="A106" s="19"/>
      <c r="B106" s="20"/>
      <c r="C106" s="20"/>
      <c r="D106" s="20"/>
      <c r="E106" s="20"/>
      <c r="F106" s="20"/>
      <c r="G106" s="20"/>
      <c r="H106" s="21"/>
    </row>
    <row r="107" spans="1:16" x14ac:dyDescent="0.2">
      <c r="A107" s="22"/>
      <c r="C107" s="3" t="s">
        <v>67</v>
      </c>
      <c r="F107" s="100" t="s">
        <v>210</v>
      </c>
      <c r="G107" s="23" t="str">
        <f>'Demande de prix'!$C$67</f>
        <v xml:space="preserve">5010 Mat </v>
      </c>
      <c r="H107" s="24"/>
    </row>
    <row r="108" spans="1:16" x14ac:dyDescent="0.2">
      <c r="A108" s="22"/>
      <c r="C108" s="89" t="s">
        <v>207</v>
      </c>
      <c r="H108" s="24"/>
    </row>
    <row r="109" spans="1:16" x14ac:dyDescent="0.2">
      <c r="A109" s="22"/>
      <c r="C109" s="3" t="s">
        <v>42</v>
      </c>
      <c r="D109" s="3">
        <f>'Demande de prix'!$C$81</f>
        <v>1</v>
      </c>
      <c r="H109" s="24"/>
    </row>
    <row r="110" spans="1:16" ht="8.1" customHeight="1" thickBot="1" x14ac:dyDescent="0.25">
      <c r="A110" s="22"/>
      <c r="H110" s="24"/>
    </row>
    <row r="111" spans="1:16" x14ac:dyDescent="0.2">
      <c r="A111" s="28"/>
      <c r="B111" s="29"/>
      <c r="C111" s="30" t="s">
        <v>23</v>
      </c>
      <c r="D111" s="31"/>
      <c r="E111" s="31"/>
      <c r="F111" s="31"/>
      <c r="G111" s="31"/>
      <c r="H111" s="96">
        <f>D109*O111</f>
        <v>6.5</v>
      </c>
      <c r="N111" s="6" t="s">
        <v>43</v>
      </c>
      <c r="O111" s="6">
        <v>6.5</v>
      </c>
      <c r="P111" s="97" t="s">
        <v>211</v>
      </c>
    </row>
    <row r="112" spans="1:16" x14ac:dyDescent="0.2">
      <c r="A112" s="187" t="s">
        <v>17</v>
      </c>
      <c r="B112" s="188"/>
      <c r="C112" s="188"/>
      <c r="D112" s="188"/>
      <c r="E112" s="188"/>
      <c r="F112" s="188"/>
      <c r="G112" s="189"/>
      <c r="H112" s="190" t="s">
        <v>18</v>
      </c>
    </row>
    <row r="113" spans="1:16" ht="8.1" customHeight="1" x14ac:dyDescent="0.2">
      <c r="A113" s="19"/>
      <c r="B113" s="20"/>
      <c r="C113" s="20"/>
      <c r="D113" s="20"/>
      <c r="E113" s="20"/>
      <c r="F113" s="20"/>
      <c r="G113" s="20"/>
      <c r="H113" s="21"/>
    </row>
    <row r="114" spans="1:16" x14ac:dyDescent="0.2">
      <c r="A114" s="22"/>
      <c r="C114" s="32" t="s">
        <v>68</v>
      </c>
      <c r="F114" s="100" t="s">
        <v>218</v>
      </c>
      <c r="G114" s="23" t="s">
        <v>219</v>
      </c>
      <c r="H114" s="24"/>
      <c r="L114" s="99"/>
    </row>
    <row r="115" spans="1:16" x14ac:dyDescent="0.2">
      <c r="A115" s="22"/>
      <c r="C115" s="3" t="s">
        <v>42</v>
      </c>
      <c r="D115" s="3">
        <f>'Demande de prix'!$C$83</f>
        <v>1</v>
      </c>
      <c r="H115" s="24"/>
    </row>
    <row r="116" spans="1:16" ht="8.1" customHeight="1" thickBot="1" x14ac:dyDescent="0.25">
      <c r="A116" s="22"/>
      <c r="H116" s="24"/>
    </row>
    <row r="117" spans="1:16" x14ac:dyDescent="0.2">
      <c r="A117" s="22"/>
      <c r="C117" s="26" t="s">
        <v>23</v>
      </c>
      <c r="D117" s="27"/>
      <c r="E117" s="27"/>
      <c r="F117" s="27"/>
      <c r="G117" s="27"/>
      <c r="H117" s="96">
        <f>D115*O117</f>
        <v>2.7</v>
      </c>
      <c r="N117" s="6" t="s">
        <v>43</v>
      </c>
      <c r="O117" s="6">
        <v>2.7</v>
      </c>
      <c r="P117" s="97" t="s">
        <v>211</v>
      </c>
    </row>
    <row r="118" spans="1:16" ht="8.1" customHeight="1" x14ac:dyDescent="0.2">
      <c r="A118" s="19"/>
      <c r="B118" s="20"/>
      <c r="C118" s="20"/>
      <c r="D118" s="20"/>
      <c r="E118" s="20"/>
      <c r="F118" s="20"/>
      <c r="G118" s="20"/>
      <c r="H118" s="21"/>
    </row>
    <row r="119" spans="1:16" x14ac:dyDescent="0.2">
      <c r="A119" s="22"/>
      <c r="C119" s="32" t="s">
        <v>69</v>
      </c>
      <c r="F119" s="100" t="s">
        <v>218</v>
      </c>
      <c r="G119" s="23" t="s">
        <v>219</v>
      </c>
      <c r="H119" s="24"/>
    </row>
    <row r="120" spans="1:16" x14ac:dyDescent="0.2">
      <c r="A120" s="22"/>
      <c r="C120" s="3" t="s">
        <v>42</v>
      </c>
      <c r="D120" s="3">
        <f>'Demande de prix'!$C$84</f>
        <v>10</v>
      </c>
      <c r="H120" s="24"/>
    </row>
    <row r="121" spans="1:16" ht="8.1" customHeight="1" thickBot="1" x14ac:dyDescent="0.25">
      <c r="A121" s="22"/>
      <c r="H121" s="24"/>
    </row>
    <row r="122" spans="1:16" x14ac:dyDescent="0.2">
      <c r="A122" s="22"/>
      <c r="C122" s="26" t="s">
        <v>23</v>
      </c>
      <c r="D122" s="27"/>
      <c r="E122" s="27"/>
      <c r="F122" s="27"/>
      <c r="G122" s="27"/>
      <c r="H122" s="96">
        <f>D120*O122</f>
        <v>23</v>
      </c>
      <c r="N122" s="6" t="s">
        <v>43</v>
      </c>
      <c r="O122" s="6">
        <v>2.2999999999999998</v>
      </c>
      <c r="P122" s="97" t="s">
        <v>211</v>
      </c>
    </row>
    <row r="123" spans="1:16" ht="8.1" customHeight="1" x14ac:dyDescent="0.2">
      <c r="A123" s="19"/>
      <c r="B123" s="20"/>
      <c r="C123" s="20"/>
      <c r="D123" s="20"/>
      <c r="E123" s="20"/>
      <c r="F123" s="20"/>
      <c r="G123" s="20"/>
      <c r="H123" s="21"/>
    </row>
    <row r="124" spans="1:16" x14ac:dyDescent="0.2">
      <c r="A124" s="22"/>
      <c r="C124" s="32" t="s">
        <v>70</v>
      </c>
      <c r="F124" s="100" t="s">
        <v>218</v>
      </c>
      <c r="G124" s="23" t="s">
        <v>219</v>
      </c>
      <c r="H124" s="24"/>
    </row>
    <row r="125" spans="1:16" x14ac:dyDescent="0.2">
      <c r="A125" s="22"/>
      <c r="C125" s="3" t="s">
        <v>42</v>
      </c>
      <c r="D125" s="3">
        <f>'Demande de prix'!$C$85</f>
        <v>1</v>
      </c>
      <c r="H125" s="24"/>
    </row>
    <row r="126" spans="1:16" ht="8.1" customHeight="1" thickBot="1" x14ac:dyDescent="0.25">
      <c r="A126" s="22"/>
      <c r="H126" s="24"/>
    </row>
    <row r="127" spans="1:16" x14ac:dyDescent="0.2">
      <c r="A127" s="22"/>
      <c r="C127" s="26" t="s">
        <v>23</v>
      </c>
      <c r="D127" s="27"/>
      <c r="E127" s="27"/>
      <c r="F127" s="27"/>
      <c r="G127" s="27"/>
      <c r="H127" s="96">
        <f>D125*O127</f>
        <v>1.7</v>
      </c>
      <c r="N127" s="6" t="s">
        <v>43</v>
      </c>
      <c r="O127" s="6">
        <v>1.7</v>
      </c>
      <c r="P127" s="97" t="s">
        <v>211</v>
      </c>
    </row>
    <row r="128" spans="1:16" ht="8.1" customHeight="1" x14ac:dyDescent="0.2">
      <c r="A128" s="19"/>
      <c r="B128" s="20"/>
      <c r="C128" s="20"/>
      <c r="D128" s="20"/>
      <c r="E128" s="20"/>
      <c r="F128" s="20"/>
      <c r="G128" s="20"/>
      <c r="H128" s="21"/>
      <c r="P128" s="97"/>
    </row>
    <row r="129" spans="1:16" x14ac:dyDescent="0.2">
      <c r="A129" s="22"/>
      <c r="C129" s="3" t="s">
        <v>221</v>
      </c>
      <c r="H129" s="24"/>
      <c r="P129" s="97"/>
    </row>
    <row r="130" spans="1:16" x14ac:dyDescent="0.2">
      <c r="A130" s="22"/>
      <c r="C130" s="3" t="s">
        <v>42</v>
      </c>
      <c r="D130" s="3">
        <v>1</v>
      </c>
      <c r="H130" s="24"/>
      <c r="P130" s="97"/>
    </row>
    <row r="131" spans="1:16" x14ac:dyDescent="0.2">
      <c r="A131" s="22"/>
      <c r="C131" s="101"/>
      <c r="D131" s="101"/>
      <c r="H131" s="24"/>
      <c r="P131" s="97"/>
    </row>
    <row r="132" spans="1:16" x14ac:dyDescent="0.2">
      <c r="A132" s="22"/>
      <c r="C132" s="101" t="s">
        <v>222</v>
      </c>
      <c r="H132" s="24"/>
      <c r="P132" s="97"/>
    </row>
    <row r="133" spans="1:16" ht="8.1" customHeight="1" x14ac:dyDescent="0.2">
      <c r="A133" s="22"/>
      <c r="C133" s="101"/>
      <c r="H133" s="24"/>
      <c r="P133" s="97"/>
    </row>
    <row r="134" spans="1:16" x14ac:dyDescent="0.2">
      <c r="A134" s="28"/>
      <c r="B134" s="29"/>
      <c r="C134" s="29"/>
      <c r="D134" s="29"/>
      <c r="E134" s="29"/>
      <c r="F134" s="29"/>
      <c r="G134" s="29"/>
      <c r="H134" s="146"/>
      <c r="P134" s="97"/>
    </row>
    <row r="135" spans="1:16" ht="8.1" customHeight="1" x14ac:dyDescent="0.2">
      <c r="A135" s="22"/>
      <c r="H135" s="24"/>
    </row>
    <row r="136" spans="1:16" x14ac:dyDescent="0.2">
      <c r="A136" s="22"/>
      <c r="C136" s="32" t="s">
        <v>39</v>
      </c>
      <c r="H136" s="24"/>
    </row>
    <row r="137" spans="1:16" x14ac:dyDescent="0.2">
      <c r="A137" s="22"/>
      <c r="C137" s="3" t="s">
        <v>40</v>
      </c>
      <c r="H137" s="24"/>
    </row>
    <row r="138" spans="1:16" ht="8.1" customHeight="1" thickBot="1" x14ac:dyDescent="0.25">
      <c r="A138" s="22"/>
      <c r="H138" s="24"/>
    </row>
    <row r="139" spans="1:16" ht="13.5" thickBot="1" x14ac:dyDescent="0.25">
      <c r="A139" s="28"/>
      <c r="B139" s="29"/>
      <c r="C139" s="33" t="s">
        <v>23</v>
      </c>
      <c r="D139" s="34"/>
      <c r="E139" s="34"/>
      <c r="F139" s="34"/>
      <c r="G139" s="34"/>
      <c r="H139" s="35">
        <f>O150</f>
        <v>303</v>
      </c>
      <c r="N139" s="10" t="s">
        <v>44</v>
      </c>
      <c r="O139" s="6">
        <v>303</v>
      </c>
      <c r="P139" s="97" t="s">
        <v>211</v>
      </c>
    </row>
    <row r="140" spans="1:16" ht="8.1" customHeight="1" x14ac:dyDescent="0.2">
      <c r="A140" s="20"/>
      <c r="N140" s="10"/>
      <c r="P140" s="97"/>
    </row>
    <row r="141" spans="1:16" s="104" customFormat="1" ht="8.1" hidden="1" customHeight="1" x14ac:dyDescent="0.25">
      <c r="A141" s="105"/>
      <c r="B141" s="102"/>
      <c r="C141" s="102"/>
      <c r="D141" s="102"/>
      <c r="E141" s="102"/>
      <c r="F141" s="102"/>
      <c r="G141" s="102"/>
      <c r="H141" s="103"/>
    </row>
    <row r="142" spans="1:16" s="104" customFormat="1" ht="15" hidden="1" x14ac:dyDescent="0.25">
      <c r="A142" s="105"/>
      <c r="B142" s="106"/>
      <c r="C142" s="32" t="s">
        <v>223</v>
      </c>
      <c r="D142" s="106"/>
      <c r="E142" s="106"/>
      <c r="F142" s="106"/>
      <c r="G142" s="106"/>
      <c r="H142" s="107"/>
    </row>
    <row r="143" spans="1:16" s="104" customFormat="1" ht="8.1" hidden="1" customHeight="1" x14ac:dyDescent="0.25">
      <c r="A143" s="105"/>
      <c r="B143" s="106"/>
      <c r="C143" s="106"/>
      <c r="D143" s="106"/>
      <c r="E143" s="106"/>
      <c r="F143" s="106"/>
      <c r="G143" s="106"/>
      <c r="H143" s="107"/>
    </row>
    <row r="144" spans="1:16" s="104" customFormat="1" ht="15" hidden="1" x14ac:dyDescent="0.25">
      <c r="A144" s="105"/>
      <c r="C144" s="180" t="s">
        <v>224</v>
      </c>
      <c r="D144" s="181"/>
      <c r="E144" s="108" t="s">
        <v>225</v>
      </c>
      <c r="F144" s="109" t="s">
        <v>226</v>
      </c>
      <c r="G144" s="110" t="s">
        <v>227</v>
      </c>
      <c r="H144" s="111" t="s">
        <v>228</v>
      </c>
    </row>
    <row r="145" spans="1:21" s="104" customFormat="1" ht="15.75" hidden="1" thickBot="1" x14ac:dyDescent="0.3">
      <c r="A145" s="105"/>
      <c r="C145" s="180" t="s">
        <v>229</v>
      </c>
      <c r="D145" s="181"/>
      <c r="E145" s="108">
        <v>603001</v>
      </c>
      <c r="F145" s="109">
        <f>E72*1.468</f>
        <v>1.468</v>
      </c>
      <c r="G145" s="112">
        <v>0.06</v>
      </c>
      <c r="H145" s="111">
        <f>G145*F145</f>
        <v>8.8079999999999992E-2</v>
      </c>
    </row>
    <row r="146" spans="1:21" s="104" customFormat="1" ht="15.75" hidden="1" thickBot="1" x14ac:dyDescent="0.3">
      <c r="A146" s="105"/>
      <c r="B146" s="106"/>
      <c r="C146" s="113" t="s">
        <v>230</v>
      </c>
      <c r="D146" s="114"/>
      <c r="E146" s="114"/>
      <c r="F146" s="114"/>
      <c r="G146" s="114"/>
      <c r="H146" s="115">
        <f>H145</f>
        <v>8.8079999999999992E-2</v>
      </c>
    </row>
    <row r="147" spans="1:21" s="104" customFormat="1" ht="15" hidden="1" x14ac:dyDescent="0.25">
      <c r="A147" s="177" t="s">
        <v>231</v>
      </c>
      <c r="B147" s="178"/>
      <c r="C147" s="178"/>
      <c r="D147" s="178"/>
      <c r="E147" s="178"/>
      <c r="F147" s="178"/>
      <c r="G147" s="178"/>
      <c r="H147" s="179"/>
    </row>
    <row r="148" spans="1:21" ht="8.1" customHeight="1" x14ac:dyDescent="0.2">
      <c r="O148" s="5"/>
    </row>
    <row r="149" spans="1:21" ht="15" x14ac:dyDescent="0.25">
      <c r="A149" s="6"/>
      <c r="B149" s="6"/>
      <c r="C149" s="159" t="s">
        <v>24</v>
      </c>
      <c r="D149" s="160"/>
      <c r="E149" s="160"/>
      <c r="F149" s="160"/>
      <c r="G149" s="174"/>
      <c r="H149" s="36">
        <f>SUM(H76:H139)</f>
        <v>486.09999999999997</v>
      </c>
    </row>
    <row r="150" spans="1:21" ht="15" x14ac:dyDescent="0.25">
      <c r="A150" s="6"/>
      <c r="B150" s="6"/>
      <c r="C150" s="171" t="str">
        <f>IF(H149&gt;10000,"Remise 3%","")</f>
        <v/>
      </c>
      <c r="D150" s="172"/>
      <c r="E150" s="172"/>
      <c r="F150" s="172"/>
      <c r="G150" s="173"/>
      <c r="H150" s="123" t="str">
        <f>IF(H149&gt;=10000,(H149/100)*3,"")</f>
        <v/>
      </c>
      <c r="M150" s="6" t="s">
        <v>46</v>
      </c>
      <c r="O150" s="6">
        <f>IF(U150&lt;3000,O139,0)</f>
        <v>303</v>
      </c>
      <c r="R150" s="52" t="s">
        <v>47</v>
      </c>
      <c r="U150" s="5">
        <f>SUM(H76:H127)</f>
        <v>183.09999999999997</v>
      </c>
    </row>
    <row r="151" spans="1:21" ht="15" x14ac:dyDescent="0.25">
      <c r="A151" s="6"/>
      <c r="B151" s="6"/>
      <c r="C151" s="159" t="str">
        <f>IF(H149&gt;=10000,"PRIX TOTAL APRES REMISE HT","")</f>
        <v/>
      </c>
      <c r="D151" s="160"/>
      <c r="E151" s="160"/>
      <c r="F151" s="160"/>
      <c r="G151" s="160"/>
      <c r="H151" s="36" t="str">
        <f>IFERROR(IF(H149&gt;=10000,H149-H150,"")+H146-H146,"")</f>
        <v/>
      </c>
      <c r="R151" s="52"/>
      <c r="U151" s="5"/>
    </row>
    <row r="152" spans="1:21" x14ac:dyDescent="0.2">
      <c r="A152" s="6"/>
      <c r="B152" s="6"/>
      <c r="C152" s="6"/>
      <c r="D152" s="6"/>
      <c r="E152" s="6"/>
      <c r="F152" s="6"/>
      <c r="G152" s="6"/>
      <c r="H152" s="6"/>
    </row>
    <row r="153" spans="1:21" x14ac:dyDescent="0.2">
      <c r="A153" s="37" t="s">
        <v>25</v>
      </c>
      <c r="B153" s="38"/>
      <c r="C153" s="38"/>
      <c r="D153" s="38"/>
      <c r="E153" s="38"/>
      <c r="F153" s="38"/>
      <c r="G153" s="38"/>
      <c r="H153" s="39"/>
    </row>
    <row r="154" spans="1:21" x14ac:dyDescent="0.2">
      <c r="A154" s="40" t="s">
        <v>26</v>
      </c>
      <c r="B154" s="116"/>
      <c r="C154" s="116"/>
      <c r="D154" s="116"/>
      <c r="E154" s="116"/>
      <c r="F154" s="116"/>
      <c r="G154" s="116"/>
      <c r="H154" s="41"/>
    </row>
    <row r="155" spans="1:21" x14ac:dyDescent="0.2">
      <c r="A155" s="40" t="s">
        <v>27</v>
      </c>
      <c r="B155" s="116"/>
      <c r="C155" s="116"/>
      <c r="D155" s="116"/>
      <c r="E155" s="116"/>
      <c r="F155" s="116"/>
      <c r="G155" s="116"/>
      <c r="H155" s="41"/>
    </row>
    <row r="156" spans="1:21" x14ac:dyDescent="0.2">
      <c r="A156" s="40" t="s">
        <v>28</v>
      </c>
      <c r="B156" s="116"/>
      <c r="C156" s="116"/>
      <c r="D156" s="116"/>
      <c r="E156" s="116"/>
      <c r="F156" s="116"/>
      <c r="G156" s="116"/>
      <c r="H156" s="41"/>
    </row>
    <row r="157" spans="1:21" x14ac:dyDescent="0.2">
      <c r="A157" s="40" t="s">
        <v>29</v>
      </c>
      <c r="B157" s="116"/>
      <c r="C157" s="116"/>
      <c r="D157" s="116"/>
      <c r="E157" s="116"/>
      <c r="F157" s="116"/>
      <c r="G157" s="116"/>
      <c r="H157" s="41"/>
    </row>
    <row r="158" spans="1:21" x14ac:dyDescent="0.2">
      <c r="A158" s="42" t="s">
        <v>30</v>
      </c>
      <c r="B158" s="116"/>
      <c r="C158" s="116"/>
      <c r="D158" s="116"/>
      <c r="E158" s="116"/>
      <c r="F158" s="116"/>
      <c r="G158" s="116"/>
      <c r="H158" s="41"/>
    </row>
    <row r="159" spans="1:21" x14ac:dyDescent="0.2">
      <c r="A159" s="117" t="s">
        <v>31</v>
      </c>
      <c r="B159" s="43"/>
      <c r="C159" s="43"/>
      <c r="D159" s="43"/>
      <c r="E159" s="43"/>
      <c r="F159" s="43"/>
      <c r="G159" s="43"/>
      <c r="H159" s="44"/>
    </row>
    <row r="160" spans="1:21" x14ac:dyDescent="0.2">
      <c r="A160" s="6"/>
      <c r="B160" s="6"/>
      <c r="C160" s="6"/>
      <c r="D160" s="6"/>
      <c r="E160" s="6"/>
      <c r="F160" s="6"/>
      <c r="G160" s="6"/>
      <c r="H160" s="6"/>
    </row>
    <row r="161" spans="1:8" x14ac:dyDescent="0.2">
      <c r="A161" s="3" t="s">
        <v>32</v>
      </c>
      <c r="E161" s="6"/>
      <c r="F161" s="6"/>
      <c r="G161" s="6"/>
      <c r="H161" s="6"/>
    </row>
    <row r="162" spans="1:8" x14ac:dyDescent="0.2">
      <c r="A162" s="3" t="s">
        <v>33</v>
      </c>
      <c r="E162" s="6"/>
      <c r="F162" s="6"/>
      <c r="G162" s="6"/>
      <c r="H162" s="6"/>
    </row>
    <row r="163" spans="1:8" x14ac:dyDescent="0.2">
      <c r="A163" s="3" t="s">
        <v>34</v>
      </c>
      <c r="E163" s="6"/>
      <c r="F163" s="6"/>
      <c r="G163" s="6"/>
      <c r="H163" s="6"/>
    </row>
    <row r="164" spans="1:8" x14ac:dyDescent="0.2">
      <c r="A164" s="6"/>
      <c r="B164" s="6"/>
      <c r="C164" s="6"/>
      <c r="D164" s="6"/>
      <c r="E164" s="6"/>
      <c r="F164" s="6"/>
      <c r="G164" s="6"/>
      <c r="H164" s="6"/>
    </row>
    <row r="165" spans="1:8" x14ac:dyDescent="0.2">
      <c r="A165" s="45" t="s">
        <v>35</v>
      </c>
      <c r="B165" s="38"/>
      <c r="C165" s="39"/>
      <c r="D165" s="6"/>
      <c r="E165" s="6"/>
      <c r="F165" s="6"/>
      <c r="G165" s="6"/>
      <c r="H165" s="6"/>
    </row>
    <row r="166" spans="1:8" x14ac:dyDescent="0.2">
      <c r="A166" s="46"/>
      <c r="B166" s="17"/>
      <c r="C166" s="47"/>
      <c r="D166" s="17"/>
      <c r="E166" s="17"/>
      <c r="F166" s="17"/>
      <c r="G166" s="17"/>
      <c r="H166" s="17"/>
    </row>
    <row r="167" spans="1:8" x14ac:dyDescent="0.2">
      <c r="A167" s="48"/>
      <c r="B167" s="6"/>
      <c r="C167" s="25"/>
      <c r="D167" s="23" t="s">
        <v>36</v>
      </c>
      <c r="E167" s="6"/>
      <c r="F167" s="6"/>
      <c r="G167" s="6"/>
      <c r="H167" s="6"/>
    </row>
    <row r="168" spans="1:8" x14ac:dyDescent="0.2">
      <c r="A168" s="48"/>
      <c r="B168" s="6"/>
      <c r="C168" s="25"/>
      <c r="D168" s="6"/>
      <c r="E168" s="6"/>
      <c r="F168" s="6"/>
      <c r="G168" s="6"/>
      <c r="H168" s="6"/>
    </row>
    <row r="169" spans="1:8" x14ac:dyDescent="0.2">
      <c r="A169" s="48"/>
      <c r="B169" s="6"/>
      <c r="C169" s="25"/>
      <c r="D169" s="23" t="s">
        <v>37</v>
      </c>
      <c r="E169" s="6"/>
      <c r="F169" s="6"/>
      <c r="G169" s="6"/>
      <c r="H169" s="6"/>
    </row>
    <row r="170" spans="1:8" x14ac:dyDescent="0.2">
      <c r="A170" s="48"/>
      <c r="B170" s="6"/>
      <c r="C170" s="25"/>
      <c r="D170" s="6"/>
      <c r="E170" s="6"/>
      <c r="F170" s="6"/>
      <c r="G170" s="6"/>
      <c r="H170" s="6"/>
    </row>
    <row r="171" spans="1:8" x14ac:dyDescent="0.2">
      <c r="A171" s="49"/>
      <c r="B171" s="50"/>
      <c r="C171" s="51"/>
      <c r="D171" s="6"/>
      <c r="E171" s="6"/>
      <c r="F171" s="12" t="s">
        <v>38</v>
      </c>
      <c r="G171" s="6"/>
      <c r="H171" s="6"/>
    </row>
  </sheetData>
  <mergeCells count="13">
    <mergeCell ref="C151:G151"/>
    <mergeCell ref="A63:G63"/>
    <mergeCell ref="F1:H1"/>
    <mergeCell ref="F2:H2"/>
    <mergeCell ref="E5:H5"/>
    <mergeCell ref="C150:G150"/>
    <mergeCell ref="C149:G149"/>
    <mergeCell ref="F72:G72"/>
    <mergeCell ref="A112:G112"/>
    <mergeCell ref="A147:H147"/>
    <mergeCell ref="C144:D144"/>
    <mergeCell ref="C145:D145"/>
    <mergeCell ref="F3:H4"/>
  </mergeCells>
  <conditionalFormatting sqref="C150:H150">
    <cfRule type="containsBlanks" dxfId="3" priority="7">
      <formula>LEN(TRIM(C150))=0</formula>
    </cfRule>
  </conditionalFormatting>
  <conditionalFormatting sqref="C150:H150">
    <cfRule type="containsBlanks" dxfId="2" priority="3">
      <formula>LEN(TRIM(C150))=0</formula>
    </cfRule>
  </conditionalFormatting>
  <conditionalFormatting sqref="C151:H151">
    <cfRule type="containsBlanks" dxfId="1" priority="2">
      <formula>LEN(TRIM(C151))=0</formula>
    </cfRule>
  </conditionalFormatting>
  <conditionalFormatting sqref="C151:H151">
    <cfRule type="containsBlanks" dxfId="0" priority="1">
      <formula>LEN(TRIM(C151))=0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59055118110236227" bottom="0.78740157480314965" header="0" footer="0"/>
  <pageSetup paperSize="9" orientation="portrait" errors="blank" r:id="rId2"/>
  <headerFooter scaleWithDoc="0" alignWithMargins="0">
    <oddFooter>&amp;C&amp;7siège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51" max="16383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68" customWidth="1"/>
    <col min="2" max="2" width="55.28515625" style="76" customWidth="1"/>
    <col min="3" max="3" width="11.7109375" style="76" bestFit="1" customWidth="1"/>
    <col min="4" max="4" width="7.42578125" style="77" customWidth="1"/>
    <col min="5" max="5" width="7.85546875" style="77" customWidth="1"/>
    <col min="6" max="6" width="17.7109375" style="77" customWidth="1"/>
    <col min="7" max="7" width="36.5703125" style="77" customWidth="1"/>
    <col min="8" max="8" width="16.28515625" style="78" customWidth="1"/>
    <col min="9" max="9" width="36" style="78" customWidth="1"/>
    <col min="10" max="10" width="6.7109375" style="78" customWidth="1"/>
    <col min="11" max="11" width="21" style="78" customWidth="1"/>
    <col min="12" max="16384" width="11.42578125" style="68"/>
  </cols>
  <sheetData>
    <row r="1" spans="1:19" ht="18" customHeight="1" x14ac:dyDescent="0.25">
      <c r="F1" s="82">
        <f>'Demande de prix'!$N$50</f>
        <v>0</v>
      </c>
      <c r="G1" s="82"/>
      <c r="H1" s="81" t="e">
        <f>LEFT(#REF!,2)</f>
        <v>#REF!</v>
      </c>
      <c r="I1" s="81">
        <f>'Demande de prix'!$N$50</f>
        <v>0</v>
      </c>
    </row>
    <row r="2" spans="1:19" ht="18" customHeight="1" thickBot="1" x14ac:dyDescent="0.3"/>
    <row r="3" spans="1:19" s="61" customFormat="1" ht="36.75" customHeight="1" thickBot="1" x14ac:dyDescent="0.4">
      <c r="A3" s="56" t="s">
        <v>73</v>
      </c>
      <c r="B3" s="56" t="s">
        <v>74</v>
      </c>
      <c r="C3" s="56" t="s">
        <v>75</v>
      </c>
      <c r="D3" s="57" t="s">
        <v>76</v>
      </c>
      <c r="E3" s="58" t="s">
        <v>77</v>
      </c>
      <c r="F3" s="59" t="s">
        <v>78</v>
      </c>
      <c r="G3" s="84" t="s">
        <v>201</v>
      </c>
      <c r="H3" s="83" t="s">
        <v>139</v>
      </c>
      <c r="I3" s="60" t="str">
        <f>VLOOKUP(H3,A4:F100,2,FALSE)</f>
        <v>Philippe ROUDIL</v>
      </c>
      <c r="J3" s="60">
        <f>VLOOKUP(H3,A4:F100,4,FALSE)</f>
        <v>4</v>
      </c>
      <c r="K3" s="60" t="str">
        <f>VLOOKUP(H3,A4:F100,3,FALSE)</f>
        <v>Corinne</v>
      </c>
    </row>
    <row r="4" spans="1:19" ht="22.5" customHeight="1" x14ac:dyDescent="0.25">
      <c r="A4" s="79" t="s">
        <v>98</v>
      </c>
      <c r="B4" s="62" t="s">
        <v>79</v>
      </c>
      <c r="C4" s="62" t="s">
        <v>80</v>
      </c>
      <c r="D4" s="63">
        <v>4</v>
      </c>
      <c r="E4" s="64">
        <v>3319</v>
      </c>
      <c r="F4" s="65" t="s">
        <v>81</v>
      </c>
      <c r="G4" s="86" t="s">
        <v>195</v>
      </c>
      <c r="H4" s="66"/>
      <c r="I4" s="67" t="str">
        <f>VLOOKUP(I3,B4:F100,5,FALSE)</f>
        <v>06.11.86.06.24</v>
      </c>
      <c r="J4" s="66"/>
      <c r="K4" s="66"/>
    </row>
    <row r="5" spans="1:19" ht="18" customHeight="1" x14ac:dyDescent="0.25">
      <c r="A5" s="79" t="s">
        <v>99</v>
      </c>
      <c r="B5" s="69" t="s">
        <v>82</v>
      </c>
      <c r="C5" s="69" t="s">
        <v>83</v>
      </c>
      <c r="D5" s="70">
        <v>9</v>
      </c>
      <c r="E5" s="71">
        <v>3188</v>
      </c>
      <c r="F5" s="72" t="s">
        <v>84</v>
      </c>
      <c r="G5" s="87" t="s">
        <v>202</v>
      </c>
      <c r="H5" s="66"/>
      <c r="I5" s="66"/>
      <c r="J5" s="66"/>
      <c r="K5" s="66"/>
    </row>
    <row r="6" spans="1:19" ht="18" customHeight="1" x14ac:dyDescent="0.25">
      <c r="A6" s="79" t="s">
        <v>100</v>
      </c>
      <c r="B6" s="62" t="s">
        <v>79</v>
      </c>
      <c r="C6" s="62" t="s">
        <v>80</v>
      </c>
      <c r="D6" s="63">
        <v>4</v>
      </c>
      <c r="E6" s="64">
        <v>3319</v>
      </c>
      <c r="F6" s="65" t="s">
        <v>81</v>
      </c>
      <c r="G6" s="86" t="s">
        <v>195</v>
      </c>
      <c r="H6" s="66"/>
      <c r="I6" s="66"/>
      <c r="J6" s="66"/>
      <c r="K6" s="66"/>
    </row>
    <row r="7" spans="1:19" ht="18" customHeight="1" x14ac:dyDescent="0.25">
      <c r="A7" s="79" t="s">
        <v>101</v>
      </c>
      <c r="B7" s="69" t="s">
        <v>85</v>
      </c>
      <c r="C7" s="69" t="s">
        <v>80</v>
      </c>
      <c r="D7" s="70">
        <v>5</v>
      </c>
      <c r="E7" s="71">
        <v>3320</v>
      </c>
      <c r="F7" s="72" t="s">
        <v>86</v>
      </c>
      <c r="G7" s="87" t="s">
        <v>199</v>
      </c>
      <c r="H7" s="66"/>
      <c r="I7" s="66"/>
      <c r="J7" s="66"/>
      <c r="K7" s="66"/>
    </row>
    <row r="8" spans="1:19" ht="18" customHeight="1" x14ac:dyDescent="0.25">
      <c r="A8" s="79" t="s">
        <v>102</v>
      </c>
      <c r="B8" s="62" t="s">
        <v>79</v>
      </c>
      <c r="C8" s="62" t="s">
        <v>80</v>
      </c>
      <c r="D8" s="63">
        <v>4</v>
      </c>
      <c r="E8" s="64">
        <v>3319</v>
      </c>
      <c r="F8" s="65" t="s">
        <v>81</v>
      </c>
      <c r="G8" s="86" t="s">
        <v>195</v>
      </c>
      <c r="H8" s="66"/>
      <c r="I8" s="66">
        <f>$F$1</f>
        <v>0</v>
      </c>
      <c r="J8" s="66"/>
      <c r="K8" s="66"/>
    </row>
    <row r="9" spans="1:19" ht="18" customHeight="1" x14ac:dyDescent="0.25">
      <c r="A9" s="79" t="s">
        <v>103</v>
      </c>
      <c r="B9" s="69" t="s">
        <v>85</v>
      </c>
      <c r="C9" s="69" t="s">
        <v>80</v>
      </c>
      <c r="D9" s="70">
        <v>5</v>
      </c>
      <c r="E9" s="71">
        <v>3320</v>
      </c>
      <c r="F9" s="72" t="s">
        <v>86</v>
      </c>
      <c r="G9" s="87" t="s">
        <v>199</v>
      </c>
      <c r="H9" s="66"/>
      <c r="I9" s="66"/>
      <c r="J9" s="66"/>
      <c r="K9" s="66"/>
    </row>
    <row r="10" spans="1:19" ht="18" customHeight="1" x14ac:dyDescent="0.25">
      <c r="A10" s="79" t="s">
        <v>104</v>
      </c>
      <c r="B10" s="62" t="s">
        <v>79</v>
      </c>
      <c r="C10" s="62" t="s">
        <v>80</v>
      </c>
      <c r="D10" s="63">
        <v>4</v>
      </c>
      <c r="E10" s="64">
        <v>3319</v>
      </c>
      <c r="F10" s="65" t="s">
        <v>81</v>
      </c>
      <c r="G10" s="86" t="s">
        <v>195</v>
      </c>
      <c r="H10" s="66"/>
      <c r="I10" s="66"/>
      <c r="J10" s="66"/>
      <c r="K10" s="66"/>
    </row>
    <row r="11" spans="1:19" ht="18" customHeight="1" x14ac:dyDescent="0.25">
      <c r="A11" s="79" t="s">
        <v>105</v>
      </c>
      <c r="B11" s="69" t="s">
        <v>82</v>
      </c>
      <c r="C11" s="69" t="s">
        <v>83</v>
      </c>
      <c r="D11" s="70">
        <v>9</v>
      </c>
      <c r="E11" s="71">
        <v>3188</v>
      </c>
      <c r="F11" s="72" t="s">
        <v>84</v>
      </c>
      <c r="G11" s="87" t="s">
        <v>202</v>
      </c>
      <c r="H11" s="66"/>
      <c r="I11" s="66"/>
      <c r="J11" s="66"/>
      <c r="K11" s="66"/>
    </row>
    <row r="12" spans="1:19" ht="18" customHeight="1" x14ac:dyDescent="0.25">
      <c r="A12" s="79" t="s">
        <v>106</v>
      </c>
      <c r="B12" s="62" t="s">
        <v>212</v>
      </c>
      <c r="C12" s="62" t="s">
        <v>87</v>
      </c>
      <c r="D12" s="63">
        <v>6</v>
      </c>
      <c r="E12" s="64">
        <v>3321</v>
      </c>
      <c r="F12" s="65" t="s">
        <v>88</v>
      </c>
      <c r="G12" s="86" t="s">
        <v>213</v>
      </c>
      <c r="H12" s="66"/>
      <c r="I12" s="66"/>
      <c r="J12" s="66"/>
      <c r="K12" s="66"/>
    </row>
    <row r="13" spans="1:19" ht="18" customHeight="1" x14ac:dyDescent="0.25">
      <c r="A13" s="79" t="s">
        <v>111</v>
      </c>
      <c r="B13" s="69" t="s">
        <v>89</v>
      </c>
      <c r="C13" s="69" t="s">
        <v>83</v>
      </c>
      <c r="D13" s="70">
        <v>3</v>
      </c>
      <c r="E13" s="71">
        <v>3002</v>
      </c>
      <c r="F13" s="72" t="s">
        <v>90</v>
      </c>
      <c r="G13" s="87" t="s">
        <v>200</v>
      </c>
      <c r="H13" s="66"/>
      <c r="I13" s="66"/>
      <c r="J13" s="66"/>
      <c r="K13" s="66"/>
      <c r="R13" s="68">
        <v>2</v>
      </c>
      <c r="S13" s="68">
        <v>1</v>
      </c>
    </row>
    <row r="14" spans="1:19" ht="18" customHeight="1" x14ac:dyDescent="0.25">
      <c r="A14" s="79" t="s">
        <v>112</v>
      </c>
      <c r="B14" s="62" t="s">
        <v>85</v>
      </c>
      <c r="C14" s="62" t="s">
        <v>80</v>
      </c>
      <c r="D14" s="63">
        <v>5</v>
      </c>
      <c r="E14" s="64">
        <v>3320</v>
      </c>
      <c r="F14" s="65" t="s">
        <v>86</v>
      </c>
      <c r="G14" s="87" t="s">
        <v>199</v>
      </c>
      <c r="H14" s="66"/>
      <c r="I14" s="66"/>
      <c r="J14" s="66"/>
      <c r="K14" s="66"/>
    </row>
    <row r="15" spans="1:19" ht="18" customHeight="1" x14ac:dyDescent="0.25">
      <c r="A15" s="79" t="s">
        <v>113</v>
      </c>
      <c r="B15" s="69" t="s">
        <v>212</v>
      </c>
      <c r="C15" s="69" t="s">
        <v>87</v>
      </c>
      <c r="D15" s="70">
        <v>6</v>
      </c>
      <c r="E15" s="71">
        <v>3321</v>
      </c>
      <c r="F15" s="72" t="s">
        <v>88</v>
      </c>
      <c r="G15" s="86" t="s">
        <v>213</v>
      </c>
      <c r="H15" s="66"/>
      <c r="I15" s="66"/>
      <c r="J15" s="66"/>
      <c r="K15" s="66"/>
    </row>
    <row r="16" spans="1:19" ht="18" customHeight="1" x14ac:dyDescent="0.25">
      <c r="A16" s="79" t="s">
        <v>114</v>
      </c>
      <c r="B16" s="62" t="s">
        <v>85</v>
      </c>
      <c r="C16" s="62" t="s">
        <v>80</v>
      </c>
      <c r="D16" s="63">
        <v>5</v>
      </c>
      <c r="E16" s="64">
        <v>3320</v>
      </c>
      <c r="F16" s="65" t="s">
        <v>86</v>
      </c>
      <c r="G16" s="87" t="s">
        <v>199</v>
      </c>
      <c r="H16" s="66"/>
      <c r="I16" s="66"/>
      <c r="J16" s="66"/>
      <c r="K16" s="66"/>
    </row>
    <row r="17" spans="1:11" ht="18" customHeight="1" x14ac:dyDescent="0.25">
      <c r="A17" s="79" t="s">
        <v>115</v>
      </c>
      <c r="B17" s="69" t="s">
        <v>91</v>
      </c>
      <c r="C17" s="69" t="s">
        <v>92</v>
      </c>
      <c r="D17" s="70">
        <v>1</v>
      </c>
      <c r="E17" s="71">
        <v>3316</v>
      </c>
      <c r="F17" s="72" t="s">
        <v>93</v>
      </c>
      <c r="G17" s="87" t="s">
        <v>196</v>
      </c>
      <c r="H17" s="66"/>
      <c r="I17" s="66"/>
      <c r="J17" s="66"/>
      <c r="K17" s="66"/>
    </row>
    <row r="18" spans="1:11" ht="18" customHeight="1" x14ac:dyDescent="0.25">
      <c r="A18" s="79" t="s">
        <v>116</v>
      </c>
      <c r="B18" s="62" t="s">
        <v>212</v>
      </c>
      <c r="C18" s="62" t="s">
        <v>87</v>
      </c>
      <c r="D18" s="63">
        <v>6</v>
      </c>
      <c r="E18" s="64">
        <v>3321</v>
      </c>
      <c r="F18" s="65" t="s">
        <v>88</v>
      </c>
      <c r="G18" s="86" t="s">
        <v>213</v>
      </c>
      <c r="H18" s="66"/>
      <c r="I18" s="66"/>
      <c r="J18" s="66"/>
      <c r="K18" s="66"/>
    </row>
    <row r="19" spans="1:11" ht="18" customHeight="1" x14ac:dyDescent="0.25">
      <c r="A19" s="79" t="s">
        <v>117</v>
      </c>
      <c r="B19" s="69" t="s">
        <v>212</v>
      </c>
      <c r="C19" s="69" t="s">
        <v>87</v>
      </c>
      <c r="D19" s="70">
        <v>6</v>
      </c>
      <c r="E19" s="71">
        <v>3321</v>
      </c>
      <c r="F19" s="72" t="s">
        <v>88</v>
      </c>
      <c r="G19" s="86" t="s">
        <v>213</v>
      </c>
      <c r="H19" s="66"/>
      <c r="I19" s="66"/>
      <c r="J19" s="66"/>
      <c r="K19" s="66"/>
    </row>
    <row r="20" spans="1:11" ht="18" customHeight="1" x14ac:dyDescent="0.25">
      <c r="A20" s="79" t="s">
        <v>118</v>
      </c>
      <c r="B20" s="62" t="s">
        <v>212</v>
      </c>
      <c r="C20" s="62" t="s">
        <v>87</v>
      </c>
      <c r="D20" s="63">
        <v>6</v>
      </c>
      <c r="E20" s="64">
        <v>3321</v>
      </c>
      <c r="F20" s="65" t="s">
        <v>88</v>
      </c>
      <c r="G20" s="86" t="s">
        <v>213</v>
      </c>
      <c r="H20" s="66"/>
      <c r="I20" s="66"/>
      <c r="J20" s="66"/>
      <c r="K20" s="66"/>
    </row>
    <row r="21" spans="1:11" ht="18" customHeight="1" x14ac:dyDescent="0.25">
      <c r="A21" s="79" t="s">
        <v>119</v>
      </c>
      <c r="B21" s="69" t="s">
        <v>94</v>
      </c>
      <c r="C21" s="69" t="s">
        <v>87</v>
      </c>
      <c r="D21" s="70">
        <v>2</v>
      </c>
      <c r="E21" s="71">
        <v>3323</v>
      </c>
      <c r="F21" s="72" t="s">
        <v>95</v>
      </c>
      <c r="G21" s="87" t="s">
        <v>198</v>
      </c>
      <c r="H21" s="66"/>
      <c r="I21" s="66"/>
      <c r="J21" s="66"/>
      <c r="K21" s="66"/>
    </row>
    <row r="22" spans="1:11" ht="18" customHeight="1" x14ac:dyDescent="0.25">
      <c r="A22" s="79" t="s">
        <v>120</v>
      </c>
      <c r="B22" s="62" t="s">
        <v>212</v>
      </c>
      <c r="C22" s="62" t="s">
        <v>87</v>
      </c>
      <c r="D22" s="63">
        <v>6</v>
      </c>
      <c r="E22" s="64">
        <v>3321</v>
      </c>
      <c r="F22" s="65" t="s">
        <v>88</v>
      </c>
      <c r="G22" s="86" t="s">
        <v>213</v>
      </c>
      <c r="H22" s="66"/>
      <c r="I22" s="66"/>
      <c r="J22" s="66"/>
      <c r="K22" s="66"/>
    </row>
    <row r="23" spans="1:11" ht="18" customHeight="1" x14ac:dyDescent="0.25">
      <c r="A23" s="79" t="s">
        <v>121</v>
      </c>
      <c r="B23" s="69" t="s">
        <v>85</v>
      </c>
      <c r="C23" s="69" t="s">
        <v>80</v>
      </c>
      <c r="D23" s="70">
        <v>5</v>
      </c>
      <c r="E23" s="71">
        <v>3320</v>
      </c>
      <c r="F23" s="72" t="s">
        <v>86</v>
      </c>
      <c r="G23" s="87" t="s">
        <v>199</v>
      </c>
      <c r="H23" s="66"/>
      <c r="I23" s="66"/>
      <c r="J23" s="66"/>
      <c r="K23" s="66"/>
    </row>
    <row r="24" spans="1:11" ht="18" customHeight="1" x14ac:dyDescent="0.25">
      <c r="A24" s="79" t="s">
        <v>122</v>
      </c>
      <c r="B24" s="62" t="s">
        <v>89</v>
      </c>
      <c r="C24" s="62" t="s">
        <v>83</v>
      </c>
      <c r="D24" s="63">
        <v>3</v>
      </c>
      <c r="E24" s="64">
        <v>3002</v>
      </c>
      <c r="F24" s="65" t="s">
        <v>90</v>
      </c>
      <c r="G24" s="87" t="s">
        <v>200</v>
      </c>
      <c r="H24" s="66"/>
      <c r="I24" s="66"/>
      <c r="J24" s="66"/>
      <c r="K24" s="66"/>
    </row>
    <row r="25" spans="1:11" ht="18" customHeight="1" x14ac:dyDescent="0.25">
      <c r="A25" s="79" t="s">
        <v>123</v>
      </c>
      <c r="B25" s="69" t="s">
        <v>96</v>
      </c>
      <c r="C25" s="69" t="s">
        <v>92</v>
      </c>
      <c r="D25" s="70">
        <v>7</v>
      </c>
      <c r="E25" s="71">
        <v>3006</v>
      </c>
      <c r="F25" s="72" t="s">
        <v>97</v>
      </c>
      <c r="G25" s="87" t="s">
        <v>197</v>
      </c>
      <c r="H25" s="66"/>
      <c r="I25" s="66"/>
      <c r="J25" s="66"/>
      <c r="K25" s="66"/>
    </row>
    <row r="26" spans="1:11" ht="18" customHeight="1" x14ac:dyDescent="0.25">
      <c r="A26" s="79" t="s">
        <v>124</v>
      </c>
      <c r="B26" s="62" t="s">
        <v>212</v>
      </c>
      <c r="C26" s="62" t="s">
        <v>87</v>
      </c>
      <c r="D26" s="63">
        <v>6</v>
      </c>
      <c r="E26" s="64">
        <v>3321</v>
      </c>
      <c r="F26" s="65" t="s">
        <v>88</v>
      </c>
      <c r="G26" s="86" t="s">
        <v>213</v>
      </c>
      <c r="H26" s="66"/>
      <c r="I26" s="66"/>
      <c r="J26" s="66"/>
      <c r="K26" s="66"/>
    </row>
    <row r="27" spans="1:11" ht="18" customHeight="1" x14ac:dyDescent="0.25">
      <c r="A27" s="79" t="s">
        <v>125</v>
      </c>
      <c r="B27" s="69" t="s">
        <v>212</v>
      </c>
      <c r="C27" s="69" t="s">
        <v>87</v>
      </c>
      <c r="D27" s="70">
        <v>6</v>
      </c>
      <c r="E27" s="71">
        <v>3321</v>
      </c>
      <c r="F27" s="72" t="s">
        <v>88</v>
      </c>
      <c r="G27" s="86" t="s">
        <v>213</v>
      </c>
      <c r="H27" s="66"/>
      <c r="I27" s="66"/>
      <c r="J27" s="66"/>
      <c r="K27" s="66"/>
    </row>
    <row r="28" spans="1:11" ht="18" customHeight="1" x14ac:dyDescent="0.25">
      <c r="A28" s="79" t="s">
        <v>126</v>
      </c>
      <c r="B28" s="62" t="s">
        <v>89</v>
      </c>
      <c r="C28" s="62" t="s">
        <v>83</v>
      </c>
      <c r="D28" s="63">
        <v>3</v>
      </c>
      <c r="E28" s="64">
        <v>3002</v>
      </c>
      <c r="F28" s="65" t="s">
        <v>90</v>
      </c>
      <c r="G28" s="87" t="s">
        <v>200</v>
      </c>
      <c r="H28" s="66"/>
      <c r="I28" s="66"/>
      <c r="J28" s="66"/>
      <c r="K28" s="66"/>
    </row>
    <row r="29" spans="1:11" ht="18" customHeight="1" x14ac:dyDescent="0.25">
      <c r="A29" s="79" t="s">
        <v>127</v>
      </c>
      <c r="B29" s="69" t="s">
        <v>79</v>
      </c>
      <c r="C29" s="69" t="s">
        <v>80</v>
      </c>
      <c r="D29" s="70">
        <v>4</v>
      </c>
      <c r="E29" s="71">
        <v>3319</v>
      </c>
      <c r="F29" s="72" t="s">
        <v>81</v>
      </c>
      <c r="G29" s="86" t="s">
        <v>195</v>
      </c>
      <c r="H29" s="66"/>
      <c r="I29" s="66"/>
      <c r="J29" s="66"/>
      <c r="K29" s="66"/>
    </row>
    <row r="30" spans="1:11" ht="18" customHeight="1" x14ac:dyDescent="0.25">
      <c r="A30" s="79" t="s">
        <v>128</v>
      </c>
      <c r="B30" s="62" t="s">
        <v>91</v>
      </c>
      <c r="C30" s="62" t="s">
        <v>92</v>
      </c>
      <c r="D30" s="63">
        <v>1</v>
      </c>
      <c r="E30" s="64">
        <v>3316</v>
      </c>
      <c r="F30" s="65" t="s">
        <v>93</v>
      </c>
      <c r="G30" s="87" t="s">
        <v>196</v>
      </c>
      <c r="H30" s="66"/>
      <c r="I30" s="66"/>
      <c r="J30" s="66"/>
      <c r="K30" s="66"/>
    </row>
    <row r="31" spans="1:11" ht="18" customHeight="1" x14ac:dyDescent="0.25">
      <c r="A31" s="79" t="s">
        <v>129</v>
      </c>
      <c r="B31" s="69" t="s">
        <v>91</v>
      </c>
      <c r="C31" s="69" t="s">
        <v>92</v>
      </c>
      <c r="D31" s="70">
        <v>1</v>
      </c>
      <c r="E31" s="71">
        <v>3316</v>
      </c>
      <c r="F31" s="72" t="s">
        <v>93</v>
      </c>
      <c r="G31" s="87" t="s">
        <v>196</v>
      </c>
      <c r="H31" s="66"/>
      <c r="I31" s="66"/>
      <c r="J31" s="66"/>
      <c r="K31" s="66"/>
    </row>
    <row r="32" spans="1:11" ht="18" customHeight="1" x14ac:dyDescent="0.25">
      <c r="A32" s="79" t="s">
        <v>130</v>
      </c>
      <c r="B32" s="62" t="s">
        <v>96</v>
      </c>
      <c r="C32" s="62" t="s">
        <v>92</v>
      </c>
      <c r="D32" s="63">
        <v>7</v>
      </c>
      <c r="E32" s="64">
        <v>3006</v>
      </c>
      <c r="F32" s="65" t="s">
        <v>97</v>
      </c>
      <c r="G32" s="87" t="s">
        <v>197</v>
      </c>
      <c r="H32" s="66"/>
      <c r="I32" s="66"/>
      <c r="J32" s="66"/>
      <c r="K32" s="66"/>
    </row>
    <row r="33" spans="1:11" ht="18" customHeight="1" x14ac:dyDescent="0.25">
      <c r="A33" s="79" t="s">
        <v>131</v>
      </c>
      <c r="B33" s="69" t="s">
        <v>85</v>
      </c>
      <c r="C33" s="69" t="s">
        <v>80</v>
      </c>
      <c r="D33" s="70">
        <v>5</v>
      </c>
      <c r="E33" s="71">
        <v>3320</v>
      </c>
      <c r="F33" s="72" t="s">
        <v>86</v>
      </c>
      <c r="G33" s="87" t="s">
        <v>199</v>
      </c>
      <c r="H33" s="66"/>
      <c r="I33" s="66"/>
      <c r="J33" s="66"/>
      <c r="K33" s="66"/>
    </row>
    <row r="34" spans="1:11" ht="18" customHeight="1" x14ac:dyDescent="0.25">
      <c r="A34" s="79" t="s">
        <v>132</v>
      </c>
      <c r="B34" s="62" t="s">
        <v>212</v>
      </c>
      <c r="C34" s="62" t="s">
        <v>87</v>
      </c>
      <c r="D34" s="63">
        <v>6</v>
      </c>
      <c r="E34" s="64">
        <v>3321</v>
      </c>
      <c r="F34" s="65" t="s">
        <v>88</v>
      </c>
      <c r="G34" s="86" t="s">
        <v>213</v>
      </c>
      <c r="H34" s="66"/>
      <c r="I34" s="66"/>
      <c r="J34" s="66"/>
      <c r="K34" s="66"/>
    </row>
    <row r="35" spans="1:11" ht="18" customHeight="1" x14ac:dyDescent="0.25">
      <c r="A35" s="79" t="s">
        <v>133</v>
      </c>
      <c r="B35" s="69" t="s">
        <v>212</v>
      </c>
      <c r="C35" s="69" t="s">
        <v>87</v>
      </c>
      <c r="D35" s="70">
        <v>6</v>
      </c>
      <c r="E35" s="71">
        <v>3321</v>
      </c>
      <c r="F35" s="72" t="s">
        <v>88</v>
      </c>
      <c r="G35" s="86" t="s">
        <v>213</v>
      </c>
      <c r="H35" s="66"/>
      <c r="I35" s="66"/>
      <c r="J35" s="66"/>
      <c r="K35" s="66"/>
    </row>
    <row r="36" spans="1:11" ht="18" customHeight="1" x14ac:dyDescent="0.25">
      <c r="A36" s="79" t="s">
        <v>134</v>
      </c>
      <c r="B36" s="62" t="s">
        <v>212</v>
      </c>
      <c r="C36" s="62" t="s">
        <v>87</v>
      </c>
      <c r="D36" s="63">
        <v>6</v>
      </c>
      <c r="E36" s="64">
        <v>3321</v>
      </c>
      <c r="F36" s="65" t="s">
        <v>88</v>
      </c>
      <c r="G36" s="86" t="s">
        <v>213</v>
      </c>
      <c r="H36" s="66"/>
      <c r="I36" s="66"/>
      <c r="J36" s="66"/>
      <c r="K36" s="66"/>
    </row>
    <row r="37" spans="1:11" ht="18" customHeight="1" x14ac:dyDescent="0.25">
      <c r="A37" s="79" t="s">
        <v>135</v>
      </c>
      <c r="B37" s="69" t="s">
        <v>85</v>
      </c>
      <c r="C37" s="69" t="s">
        <v>80</v>
      </c>
      <c r="D37" s="70">
        <v>5</v>
      </c>
      <c r="E37" s="71">
        <v>3320</v>
      </c>
      <c r="F37" s="72" t="s">
        <v>86</v>
      </c>
      <c r="G37" s="87" t="s">
        <v>199</v>
      </c>
      <c r="H37" s="66"/>
      <c r="I37" s="66"/>
      <c r="J37" s="66"/>
      <c r="K37" s="66"/>
    </row>
    <row r="38" spans="1:11" ht="18" customHeight="1" x14ac:dyDescent="0.25">
      <c r="A38" s="79" t="s">
        <v>136</v>
      </c>
      <c r="B38" s="62" t="s">
        <v>96</v>
      </c>
      <c r="C38" s="62" t="s">
        <v>92</v>
      </c>
      <c r="D38" s="63">
        <v>7</v>
      </c>
      <c r="E38" s="64">
        <v>3006</v>
      </c>
      <c r="F38" s="65" t="s">
        <v>97</v>
      </c>
      <c r="G38" s="87" t="s">
        <v>197</v>
      </c>
      <c r="H38" s="66"/>
      <c r="I38" s="66"/>
      <c r="J38" s="66"/>
      <c r="K38" s="66"/>
    </row>
    <row r="39" spans="1:11" ht="18" customHeight="1" x14ac:dyDescent="0.25">
      <c r="A39" s="79" t="s">
        <v>137</v>
      </c>
      <c r="B39" s="69" t="s">
        <v>94</v>
      </c>
      <c r="C39" s="69" t="s">
        <v>87</v>
      </c>
      <c r="D39" s="70">
        <v>2</v>
      </c>
      <c r="E39" s="71">
        <v>3323</v>
      </c>
      <c r="F39" s="72" t="s">
        <v>95</v>
      </c>
      <c r="G39" s="87" t="s">
        <v>198</v>
      </c>
      <c r="H39" s="66"/>
      <c r="I39" s="66"/>
      <c r="J39" s="66"/>
      <c r="K39" s="66"/>
    </row>
    <row r="40" spans="1:11" ht="18" customHeight="1" x14ac:dyDescent="0.25">
      <c r="A40" s="79" t="s">
        <v>138</v>
      </c>
      <c r="B40" s="62" t="s">
        <v>94</v>
      </c>
      <c r="C40" s="62" t="s">
        <v>87</v>
      </c>
      <c r="D40" s="63">
        <v>2</v>
      </c>
      <c r="E40" s="64">
        <v>3323</v>
      </c>
      <c r="F40" s="65" t="s">
        <v>95</v>
      </c>
      <c r="G40" s="87" t="s">
        <v>198</v>
      </c>
      <c r="H40" s="66"/>
      <c r="I40" s="66"/>
      <c r="J40" s="66"/>
      <c r="K40" s="66"/>
    </row>
    <row r="41" spans="1:11" ht="18" customHeight="1" x14ac:dyDescent="0.25">
      <c r="A41" s="79" t="s">
        <v>139</v>
      </c>
      <c r="B41" s="69" t="s">
        <v>79</v>
      </c>
      <c r="C41" s="69" t="s">
        <v>80</v>
      </c>
      <c r="D41" s="70">
        <v>4</v>
      </c>
      <c r="E41" s="71">
        <v>3319</v>
      </c>
      <c r="F41" s="72" t="s">
        <v>81</v>
      </c>
      <c r="G41" s="86" t="s">
        <v>195</v>
      </c>
      <c r="H41" s="66"/>
      <c r="I41" s="66"/>
      <c r="J41" s="66"/>
      <c r="K41" s="66"/>
    </row>
    <row r="42" spans="1:11" ht="18" customHeight="1" x14ac:dyDescent="0.25">
      <c r="A42" s="79" t="s">
        <v>140</v>
      </c>
      <c r="B42" s="62" t="s">
        <v>79</v>
      </c>
      <c r="C42" s="62" t="s">
        <v>80</v>
      </c>
      <c r="D42" s="63">
        <v>4</v>
      </c>
      <c r="E42" s="64">
        <v>3319</v>
      </c>
      <c r="F42" s="65" t="s">
        <v>81</v>
      </c>
      <c r="G42" s="86" t="s">
        <v>195</v>
      </c>
      <c r="H42" s="66"/>
      <c r="I42" s="66"/>
      <c r="J42" s="66"/>
      <c r="K42" s="66"/>
    </row>
    <row r="43" spans="1:11" ht="18" customHeight="1" x14ac:dyDescent="0.25">
      <c r="A43" s="79" t="s">
        <v>141</v>
      </c>
      <c r="B43" s="69" t="s">
        <v>212</v>
      </c>
      <c r="C43" s="69" t="s">
        <v>87</v>
      </c>
      <c r="D43" s="70">
        <v>6</v>
      </c>
      <c r="E43" s="71">
        <v>3321</v>
      </c>
      <c r="F43" s="72" t="s">
        <v>88</v>
      </c>
      <c r="G43" s="86" t="s">
        <v>213</v>
      </c>
      <c r="H43" s="66"/>
      <c r="I43" s="66"/>
      <c r="J43" s="66"/>
      <c r="K43" s="66"/>
    </row>
    <row r="44" spans="1:11" ht="18" customHeight="1" x14ac:dyDescent="0.25">
      <c r="A44" s="79" t="s">
        <v>142</v>
      </c>
      <c r="B44" s="62" t="s">
        <v>94</v>
      </c>
      <c r="C44" s="62" t="s">
        <v>87</v>
      </c>
      <c r="D44" s="63">
        <v>2</v>
      </c>
      <c r="E44" s="64">
        <v>3323</v>
      </c>
      <c r="F44" s="65" t="s">
        <v>95</v>
      </c>
      <c r="G44" s="87" t="s">
        <v>198</v>
      </c>
      <c r="H44" s="66"/>
      <c r="I44" s="66"/>
      <c r="J44" s="66"/>
      <c r="K44" s="66"/>
    </row>
    <row r="45" spans="1:11" ht="18" customHeight="1" x14ac:dyDescent="0.25">
      <c r="A45" s="79" t="s">
        <v>143</v>
      </c>
      <c r="B45" s="69" t="s">
        <v>79</v>
      </c>
      <c r="C45" s="69" t="s">
        <v>80</v>
      </c>
      <c r="D45" s="70">
        <v>4</v>
      </c>
      <c r="E45" s="71">
        <v>3319</v>
      </c>
      <c r="F45" s="72" t="s">
        <v>81</v>
      </c>
      <c r="G45" s="86" t="s">
        <v>195</v>
      </c>
      <c r="H45" s="66"/>
      <c r="I45" s="66"/>
      <c r="J45" s="66"/>
      <c r="K45" s="66"/>
    </row>
    <row r="46" spans="1:11" ht="18" customHeight="1" x14ac:dyDescent="0.25">
      <c r="A46" s="79" t="s">
        <v>144</v>
      </c>
      <c r="B46" s="62" t="s">
        <v>79</v>
      </c>
      <c r="C46" s="62" t="s">
        <v>80</v>
      </c>
      <c r="D46" s="63">
        <v>4</v>
      </c>
      <c r="E46" s="64">
        <v>3319</v>
      </c>
      <c r="F46" s="65" t="s">
        <v>81</v>
      </c>
      <c r="G46" s="86" t="s">
        <v>195</v>
      </c>
      <c r="H46" s="66"/>
      <c r="I46" s="66"/>
      <c r="J46" s="66"/>
      <c r="K46" s="66"/>
    </row>
    <row r="47" spans="1:11" ht="18" customHeight="1" x14ac:dyDescent="0.25">
      <c r="A47" s="79" t="s">
        <v>145</v>
      </c>
      <c r="B47" s="69" t="s">
        <v>96</v>
      </c>
      <c r="C47" s="69" t="s">
        <v>92</v>
      </c>
      <c r="D47" s="70">
        <v>7</v>
      </c>
      <c r="E47" s="71">
        <v>3006</v>
      </c>
      <c r="F47" s="72" t="s">
        <v>97</v>
      </c>
      <c r="G47" s="87" t="s">
        <v>197</v>
      </c>
      <c r="H47" s="66"/>
      <c r="I47" s="66"/>
      <c r="J47" s="66"/>
      <c r="K47" s="66"/>
    </row>
    <row r="48" spans="1:11" ht="18" customHeight="1" x14ac:dyDescent="0.25">
      <c r="A48" s="79" t="s">
        <v>146</v>
      </c>
      <c r="B48" s="62" t="s">
        <v>94</v>
      </c>
      <c r="C48" s="62" t="s">
        <v>87</v>
      </c>
      <c r="D48" s="63">
        <v>2</v>
      </c>
      <c r="E48" s="64">
        <v>3323</v>
      </c>
      <c r="F48" s="65" t="s">
        <v>95</v>
      </c>
      <c r="G48" s="87" t="s">
        <v>198</v>
      </c>
      <c r="H48" s="66"/>
      <c r="I48" s="66"/>
      <c r="J48" s="66"/>
      <c r="K48" s="66"/>
    </row>
    <row r="49" spans="1:11" ht="18" customHeight="1" x14ac:dyDescent="0.25">
      <c r="A49" s="79" t="s">
        <v>147</v>
      </c>
      <c r="B49" s="69" t="s">
        <v>212</v>
      </c>
      <c r="C49" s="69" t="s">
        <v>87</v>
      </c>
      <c r="D49" s="70">
        <v>6</v>
      </c>
      <c r="E49" s="71">
        <v>3321</v>
      </c>
      <c r="F49" s="72" t="s">
        <v>88</v>
      </c>
      <c r="G49" s="86" t="s">
        <v>213</v>
      </c>
      <c r="H49" s="66"/>
      <c r="I49" s="66"/>
      <c r="J49" s="66"/>
      <c r="K49" s="66"/>
    </row>
    <row r="50" spans="1:11" ht="18" customHeight="1" x14ac:dyDescent="0.25">
      <c r="A50" s="79" t="s">
        <v>148</v>
      </c>
      <c r="B50" s="62" t="s">
        <v>212</v>
      </c>
      <c r="C50" s="62" t="s">
        <v>87</v>
      </c>
      <c r="D50" s="63">
        <v>6</v>
      </c>
      <c r="E50" s="64">
        <v>3321</v>
      </c>
      <c r="F50" s="65" t="s">
        <v>88</v>
      </c>
      <c r="G50" s="86" t="s">
        <v>213</v>
      </c>
      <c r="H50" s="66"/>
      <c r="I50" s="66"/>
      <c r="J50" s="66"/>
      <c r="K50" s="66"/>
    </row>
    <row r="51" spans="1:11" ht="18" customHeight="1" x14ac:dyDescent="0.25">
      <c r="A51" s="79" t="s">
        <v>149</v>
      </c>
      <c r="B51" s="69" t="s">
        <v>85</v>
      </c>
      <c r="C51" s="69" t="s">
        <v>80</v>
      </c>
      <c r="D51" s="70">
        <v>5</v>
      </c>
      <c r="E51" s="71">
        <v>3320</v>
      </c>
      <c r="F51" s="72" t="s">
        <v>86</v>
      </c>
      <c r="G51" s="87" t="s">
        <v>199</v>
      </c>
      <c r="H51" s="66"/>
      <c r="I51" s="66"/>
      <c r="J51" s="66"/>
      <c r="K51" s="66"/>
    </row>
    <row r="52" spans="1:11" ht="18" customHeight="1" x14ac:dyDescent="0.25">
      <c r="A52" s="79" t="s">
        <v>150</v>
      </c>
      <c r="B52" s="62" t="s">
        <v>96</v>
      </c>
      <c r="C52" s="62" t="s">
        <v>92</v>
      </c>
      <c r="D52" s="63">
        <v>7</v>
      </c>
      <c r="E52" s="64">
        <v>3006</v>
      </c>
      <c r="F52" s="65" t="s">
        <v>97</v>
      </c>
      <c r="G52" s="87" t="s">
        <v>197</v>
      </c>
      <c r="H52" s="66"/>
      <c r="I52" s="66"/>
      <c r="J52" s="66"/>
      <c r="K52" s="66"/>
    </row>
    <row r="53" spans="1:11" ht="18" customHeight="1" x14ac:dyDescent="0.25">
      <c r="A53" s="79" t="s">
        <v>151</v>
      </c>
      <c r="B53" s="69" t="s">
        <v>91</v>
      </c>
      <c r="C53" s="69" t="s">
        <v>92</v>
      </c>
      <c r="D53" s="70">
        <v>1</v>
      </c>
      <c r="E53" s="71">
        <v>3316</v>
      </c>
      <c r="F53" s="72" t="s">
        <v>93</v>
      </c>
      <c r="G53" s="87" t="s">
        <v>196</v>
      </c>
      <c r="H53" s="66"/>
      <c r="I53" s="66"/>
      <c r="J53" s="66"/>
      <c r="K53" s="66"/>
    </row>
    <row r="54" spans="1:11" ht="18" customHeight="1" x14ac:dyDescent="0.25">
      <c r="A54" s="79" t="s">
        <v>152</v>
      </c>
      <c r="B54" s="62" t="s">
        <v>82</v>
      </c>
      <c r="C54" s="62" t="s">
        <v>83</v>
      </c>
      <c r="D54" s="63">
        <v>9</v>
      </c>
      <c r="E54" s="64">
        <v>3188</v>
      </c>
      <c r="F54" s="65" t="s">
        <v>84</v>
      </c>
      <c r="G54" s="87" t="s">
        <v>202</v>
      </c>
      <c r="H54" s="66"/>
      <c r="I54" s="66"/>
      <c r="J54" s="66"/>
      <c r="K54" s="66"/>
    </row>
    <row r="55" spans="1:11" ht="18" customHeight="1" x14ac:dyDescent="0.25">
      <c r="A55" s="79" t="s">
        <v>153</v>
      </c>
      <c r="B55" s="69" t="s">
        <v>89</v>
      </c>
      <c r="C55" s="69" t="s">
        <v>83</v>
      </c>
      <c r="D55" s="70">
        <v>3</v>
      </c>
      <c r="E55" s="71">
        <v>3002</v>
      </c>
      <c r="F55" s="72" t="s">
        <v>90</v>
      </c>
      <c r="G55" s="87" t="s">
        <v>200</v>
      </c>
      <c r="H55" s="66"/>
      <c r="I55" s="66"/>
      <c r="J55" s="66"/>
      <c r="K55" s="66"/>
    </row>
    <row r="56" spans="1:11" ht="18" customHeight="1" x14ac:dyDescent="0.25">
      <c r="A56" s="79" t="s">
        <v>154</v>
      </c>
      <c r="B56" s="62" t="s">
        <v>96</v>
      </c>
      <c r="C56" s="62" t="s">
        <v>92</v>
      </c>
      <c r="D56" s="63">
        <v>7</v>
      </c>
      <c r="E56" s="64">
        <v>3006</v>
      </c>
      <c r="F56" s="65" t="s">
        <v>97</v>
      </c>
      <c r="G56" s="87" t="s">
        <v>197</v>
      </c>
      <c r="H56" s="66"/>
      <c r="I56" s="66"/>
      <c r="J56" s="66"/>
      <c r="K56" s="66"/>
    </row>
    <row r="57" spans="1:11" ht="18" customHeight="1" x14ac:dyDescent="0.25">
      <c r="A57" s="79" t="s">
        <v>155</v>
      </c>
      <c r="B57" s="69" t="s">
        <v>89</v>
      </c>
      <c r="C57" s="69" t="s">
        <v>83</v>
      </c>
      <c r="D57" s="70">
        <v>3</v>
      </c>
      <c r="E57" s="71">
        <v>3002</v>
      </c>
      <c r="F57" s="72" t="s">
        <v>90</v>
      </c>
      <c r="G57" s="87" t="s">
        <v>200</v>
      </c>
      <c r="H57" s="66"/>
      <c r="I57" s="66"/>
      <c r="J57" s="66"/>
      <c r="K57" s="66"/>
    </row>
    <row r="58" spans="1:11" ht="18" customHeight="1" x14ac:dyDescent="0.25">
      <c r="A58" s="79" t="s">
        <v>156</v>
      </c>
      <c r="B58" s="62" t="s">
        <v>89</v>
      </c>
      <c r="C58" s="62" t="s">
        <v>83</v>
      </c>
      <c r="D58" s="63">
        <v>3</v>
      </c>
      <c r="E58" s="64">
        <v>3002</v>
      </c>
      <c r="F58" s="65" t="s">
        <v>90</v>
      </c>
      <c r="G58" s="87" t="s">
        <v>200</v>
      </c>
      <c r="H58" s="66"/>
      <c r="I58" s="66"/>
      <c r="J58" s="66"/>
      <c r="K58" s="66"/>
    </row>
    <row r="59" spans="1:11" ht="18" customHeight="1" x14ac:dyDescent="0.25">
      <c r="A59" s="79" t="s">
        <v>157</v>
      </c>
      <c r="B59" s="69" t="s">
        <v>96</v>
      </c>
      <c r="C59" s="69" t="s">
        <v>92</v>
      </c>
      <c r="D59" s="70">
        <v>7</v>
      </c>
      <c r="E59" s="71">
        <v>3006</v>
      </c>
      <c r="F59" s="72" t="s">
        <v>97</v>
      </c>
      <c r="G59" s="87" t="s">
        <v>197</v>
      </c>
      <c r="H59" s="66"/>
      <c r="I59" s="66"/>
      <c r="J59" s="66"/>
      <c r="K59" s="66"/>
    </row>
    <row r="60" spans="1:11" ht="18" customHeight="1" x14ac:dyDescent="0.25">
      <c r="A60" s="79" t="s">
        <v>158</v>
      </c>
      <c r="B60" s="62" t="s">
        <v>89</v>
      </c>
      <c r="C60" s="62" t="s">
        <v>83</v>
      </c>
      <c r="D60" s="63">
        <v>3</v>
      </c>
      <c r="E60" s="64">
        <v>3002</v>
      </c>
      <c r="F60" s="65" t="s">
        <v>90</v>
      </c>
      <c r="G60" s="87" t="s">
        <v>200</v>
      </c>
      <c r="H60" s="66"/>
      <c r="I60" s="66"/>
      <c r="J60" s="66"/>
      <c r="K60" s="66"/>
    </row>
    <row r="61" spans="1:11" ht="18" customHeight="1" x14ac:dyDescent="0.25">
      <c r="A61" s="79" t="s">
        <v>159</v>
      </c>
      <c r="B61" s="69" t="s">
        <v>94</v>
      </c>
      <c r="C61" s="69" t="s">
        <v>87</v>
      </c>
      <c r="D61" s="70">
        <v>2</v>
      </c>
      <c r="E61" s="71">
        <v>3323</v>
      </c>
      <c r="F61" s="72" t="s">
        <v>95</v>
      </c>
      <c r="G61" s="87" t="s">
        <v>198</v>
      </c>
      <c r="H61" s="66"/>
      <c r="I61" s="66"/>
      <c r="J61" s="66"/>
      <c r="K61" s="66"/>
    </row>
    <row r="62" spans="1:11" ht="18" customHeight="1" x14ac:dyDescent="0.25">
      <c r="A62" s="79" t="s">
        <v>160</v>
      </c>
      <c r="B62" s="62" t="s">
        <v>82</v>
      </c>
      <c r="C62" s="62" t="s">
        <v>83</v>
      </c>
      <c r="D62" s="63">
        <v>9</v>
      </c>
      <c r="E62" s="64">
        <v>3188</v>
      </c>
      <c r="F62" s="65" t="s">
        <v>84</v>
      </c>
      <c r="G62" s="87" t="s">
        <v>202</v>
      </c>
      <c r="H62" s="66"/>
      <c r="I62" s="66"/>
      <c r="J62" s="66"/>
      <c r="K62" s="66"/>
    </row>
    <row r="63" spans="1:11" ht="18" customHeight="1" x14ac:dyDescent="0.25">
      <c r="A63" s="79" t="s">
        <v>161</v>
      </c>
      <c r="B63" s="69" t="s">
        <v>82</v>
      </c>
      <c r="C63" s="69" t="s">
        <v>83</v>
      </c>
      <c r="D63" s="70">
        <v>9</v>
      </c>
      <c r="E63" s="71">
        <v>3188</v>
      </c>
      <c r="F63" s="72" t="s">
        <v>84</v>
      </c>
      <c r="G63" s="87" t="s">
        <v>202</v>
      </c>
      <c r="H63" s="66"/>
      <c r="I63" s="66"/>
      <c r="J63" s="66"/>
      <c r="K63" s="66"/>
    </row>
    <row r="64" spans="1:11" ht="18" customHeight="1" x14ac:dyDescent="0.25">
      <c r="A64" s="79" t="s">
        <v>162</v>
      </c>
      <c r="B64" s="62" t="s">
        <v>91</v>
      </c>
      <c r="C64" s="62" t="s">
        <v>92</v>
      </c>
      <c r="D64" s="63">
        <v>1</v>
      </c>
      <c r="E64" s="64">
        <v>3316</v>
      </c>
      <c r="F64" s="65" t="s">
        <v>93</v>
      </c>
      <c r="G64" s="87" t="s">
        <v>196</v>
      </c>
      <c r="H64" s="66"/>
      <c r="I64" s="66"/>
      <c r="J64" s="66"/>
      <c r="K64" s="66"/>
    </row>
    <row r="65" spans="1:11" ht="18" customHeight="1" x14ac:dyDescent="0.25">
      <c r="A65" s="79" t="s">
        <v>163</v>
      </c>
      <c r="B65" s="69" t="s">
        <v>82</v>
      </c>
      <c r="C65" s="69" t="s">
        <v>83</v>
      </c>
      <c r="D65" s="70">
        <v>9</v>
      </c>
      <c r="E65" s="71">
        <v>3188</v>
      </c>
      <c r="F65" s="72" t="s">
        <v>84</v>
      </c>
      <c r="G65" s="87" t="s">
        <v>202</v>
      </c>
      <c r="H65" s="66"/>
      <c r="I65" s="66"/>
      <c r="J65" s="66"/>
      <c r="K65" s="66"/>
    </row>
    <row r="66" spans="1:11" ht="18" customHeight="1" x14ac:dyDescent="0.25">
      <c r="A66" s="79" t="s">
        <v>164</v>
      </c>
      <c r="B66" s="62" t="s">
        <v>79</v>
      </c>
      <c r="C66" s="62" t="s">
        <v>80</v>
      </c>
      <c r="D66" s="63">
        <v>4</v>
      </c>
      <c r="E66" s="64">
        <v>3319</v>
      </c>
      <c r="F66" s="65" t="s">
        <v>81</v>
      </c>
      <c r="G66" s="86" t="s">
        <v>195</v>
      </c>
      <c r="H66" s="66"/>
      <c r="I66" s="66"/>
      <c r="J66" s="66"/>
      <c r="K66" s="66"/>
    </row>
    <row r="67" spans="1:11" ht="18" customHeight="1" x14ac:dyDescent="0.25">
      <c r="A67" s="79" t="s">
        <v>165</v>
      </c>
      <c r="B67" s="69" t="s">
        <v>212</v>
      </c>
      <c r="C67" s="69" t="s">
        <v>87</v>
      </c>
      <c r="D67" s="70">
        <v>6</v>
      </c>
      <c r="E67" s="71">
        <v>3321</v>
      </c>
      <c r="F67" s="72" t="s">
        <v>88</v>
      </c>
      <c r="G67" s="86" t="s">
        <v>213</v>
      </c>
      <c r="H67" s="66"/>
      <c r="I67" s="66"/>
      <c r="J67" s="66"/>
      <c r="K67" s="66"/>
    </row>
    <row r="68" spans="1:11" ht="18" customHeight="1" x14ac:dyDescent="0.25">
      <c r="A68" s="79" t="s">
        <v>166</v>
      </c>
      <c r="B68" s="62" t="s">
        <v>212</v>
      </c>
      <c r="C68" s="62" t="s">
        <v>87</v>
      </c>
      <c r="D68" s="63">
        <v>6</v>
      </c>
      <c r="E68" s="64">
        <v>3321</v>
      </c>
      <c r="F68" s="65" t="s">
        <v>88</v>
      </c>
      <c r="G68" s="86" t="s">
        <v>213</v>
      </c>
      <c r="H68" s="66"/>
      <c r="I68" s="66"/>
      <c r="J68" s="66"/>
      <c r="K68" s="66"/>
    </row>
    <row r="69" spans="1:11" ht="18" customHeight="1" x14ac:dyDescent="0.25">
      <c r="A69" s="79" t="s">
        <v>167</v>
      </c>
      <c r="B69" s="69" t="s">
        <v>85</v>
      </c>
      <c r="C69" s="69" t="s">
        <v>80</v>
      </c>
      <c r="D69" s="70">
        <v>5</v>
      </c>
      <c r="E69" s="71">
        <v>3320</v>
      </c>
      <c r="F69" s="72" t="s">
        <v>86</v>
      </c>
      <c r="G69" s="87" t="s">
        <v>199</v>
      </c>
      <c r="H69" s="66"/>
      <c r="I69" s="66"/>
      <c r="J69" s="66"/>
      <c r="K69" s="66"/>
    </row>
    <row r="70" spans="1:11" ht="18" customHeight="1" x14ac:dyDescent="0.25">
      <c r="A70" s="79" t="s">
        <v>168</v>
      </c>
      <c r="B70" s="62" t="s">
        <v>89</v>
      </c>
      <c r="C70" s="62" t="s">
        <v>83</v>
      </c>
      <c r="D70" s="63">
        <v>3</v>
      </c>
      <c r="E70" s="64">
        <v>3002</v>
      </c>
      <c r="F70" s="65" t="s">
        <v>90</v>
      </c>
      <c r="G70" s="87" t="s">
        <v>200</v>
      </c>
      <c r="H70" s="66"/>
      <c r="I70" s="66"/>
      <c r="J70" s="66"/>
      <c r="K70" s="66"/>
    </row>
    <row r="71" spans="1:11" ht="18" customHeight="1" x14ac:dyDescent="0.25">
      <c r="A71" s="79" t="s">
        <v>169</v>
      </c>
      <c r="B71" s="69" t="s">
        <v>89</v>
      </c>
      <c r="C71" s="69" t="s">
        <v>83</v>
      </c>
      <c r="D71" s="70">
        <v>3</v>
      </c>
      <c r="E71" s="71">
        <v>3002</v>
      </c>
      <c r="F71" s="72" t="s">
        <v>90</v>
      </c>
      <c r="G71" s="87" t="s">
        <v>200</v>
      </c>
      <c r="H71" s="66"/>
      <c r="I71" s="66"/>
      <c r="J71" s="66"/>
      <c r="K71" s="66"/>
    </row>
    <row r="72" spans="1:11" ht="18" customHeight="1" x14ac:dyDescent="0.25">
      <c r="A72" s="79" t="s">
        <v>110</v>
      </c>
      <c r="B72" s="62" t="s">
        <v>79</v>
      </c>
      <c r="C72" s="62" t="s">
        <v>80</v>
      </c>
      <c r="D72" s="63">
        <v>4</v>
      </c>
      <c r="E72" s="64">
        <v>3319</v>
      </c>
      <c r="F72" s="65" t="s">
        <v>81</v>
      </c>
      <c r="G72" s="86" t="s">
        <v>195</v>
      </c>
      <c r="H72" s="66"/>
      <c r="I72" s="66"/>
      <c r="J72" s="66"/>
      <c r="K72" s="66"/>
    </row>
    <row r="73" spans="1:11" ht="18" customHeight="1" x14ac:dyDescent="0.25">
      <c r="A73" s="79" t="s">
        <v>170</v>
      </c>
      <c r="B73" s="69" t="s">
        <v>89</v>
      </c>
      <c r="C73" s="69" t="s">
        <v>83</v>
      </c>
      <c r="D73" s="70">
        <v>3</v>
      </c>
      <c r="E73" s="71">
        <v>3002</v>
      </c>
      <c r="F73" s="72" t="s">
        <v>90</v>
      </c>
      <c r="G73" s="87" t="s">
        <v>200</v>
      </c>
      <c r="H73" s="66"/>
      <c r="I73" s="66"/>
      <c r="J73" s="66"/>
      <c r="K73" s="66"/>
    </row>
    <row r="74" spans="1:11" ht="18" customHeight="1" x14ac:dyDescent="0.25">
      <c r="A74" s="79" t="s">
        <v>171</v>
      </c>
      <c r="B74" s="62" t="s">
        <v>79</v>
      </c>
      <c r="C74" s="62" t="s">
        <v>80</v>
      </c>
      <c r="D74" s="63">
        <v>4</v>
      </c>
      <c r="E74" s="64">
        <v>3319</v>
      </c>
      <c r="F74" s="65" t="s">
        <v>81</v>
      </c>
      <c r="G74" s="86" t="s">
        <v>195</v>
      </c>
      <c r="H74" s="66"/>
      <c r="I74" s="66"/>
      <c r="J74" s="66"/>
      <c r="K74" s="66"/>
    </row>
    <row r="75" spans="1:11" ht="18" customHeight="1" x14ac:dyDescent="0.25">
      <c r="A75" s="79" t="s">
        <v>172</v>
      </c>
      <c r="B75" s="69" t="s">
        <v>96</v>
      </c>
      <c r="C75" s="69" t="s">
        <v>92</v>
      </c>
      <c r="D75" s="70">
        <v>7</v>
      </c>
      <c r="E75" s="71">
        <v>3006</v>
      </c>
      <c r="F75" s="72" t="s">
        <v>97</v>
      </c>
      <c r="G75" s="87" t="s">
        <v>197</v>
      </c>
      <c r="H75" s="66"/>
      <c r="I75" s="66"/>
      <c r="J75" s="66"/>
      <c r="K75" s="66"/>
    </row>
    <row r="76" spans="1:11" ht="18" customHeight="1" x14ac:dyDescent="0.25">
      <c r="A76" s="79" t="s">
        <v>173</v>
      </c>
      <c r="B76" s="62" t="s">
        <v>79</v>
      </c>
      <c r="C76" s="62" t="s">
        <v>80</v>
      </c>
      <c r="D76" s="63">
        <v>4</v>
      </c>
      <c r="E76" s="64">
        <v>3319</v>
      </c>
      <c r="F76" s="65" t="s">
        <v>81</v>
      </c>
      <c r="G76" s="86" t="s">
        <v>195</v>
      </c>
      <c r="H76" s="66"/>
      <c r="I76" s="66"/>
      <c r="J76" s="66"/>
      <c r="K76" s="66"/>
    </row>
    <row r="77" spans="1:11" ht="18" customHeight="1" x14ac:dyDescent="0.25">
      <c r="A77" s="79" t="s">
        <v>174</v>
      </c>
      <c r="B77" s="69" t="s">
        <v>79</v>
      </c>
      <c r="C77" s="69" t="s">
        <v>80</v>
      </c>
      <c r="D77" s="70">
        <v>4</v>
      </c>
      <c r="E77" s="71">
        <v>3319</v>
      </c>
      <c r="F77" s="72" t="s">
        <v>81</v>
      </c>
      <c r="G77" s="86" t="s">
        <v>195</v>
      </c>
      <c r="H77" s="66"/>
      <c r="I77" s="66"/>
      <c r="J77" s="66"/>
      <c r="K77" s="66"/>
    </row>
    <row r="78" spans="1:11" ht="18" customHeight="1" x14ac:dyDescent="0.25">
      <c r="A78" s="79"/>
      <c r="B78" s="62"/>
      <c r="C78" s="62"/>
      <c r="D78" s="63"/>
      <c r="E78" s="64"/>
      <c r="F78" s="65"/>
      <c r="G78" s="86"/>
      <c r="H78" s="66"/>
      <c r="I78" s="66"/>
      <c r="J78" s="66"/>
      <c r="K78" s="66"/>
    </row>
    <row r="79" spans="1:11" ht="18" customHeight="1" x14ac:dyDescent="0.25">
      <c r="A79" s="79"/>
      <c r="B79" s="73"/>
      <c r="C79" s="62"/>
      <c r="D79" s="63"/>
      <c r="E79" s="64"/>
      <c r="F79" s="65"/>
      <c r="G79" s="85"/>
      <c r="H79" s="66"/>
      <c r="I79" s="88"/>
      <c r="J79" s="66"/>
      <c r="K79" s="66"/>
    </row>
    <row r="80" spans="1:11" ht="18" customHeight="1" x14ac:dyDescent="0.25">
      <c r="A80" s="79"/>
      <c r="B80" s="74"/>
      <c r="C80" s="62"/>
      <c r="D80" s="63"/>
      <c r="E80" s="64"/>
      <c r="F80" s="65"/>
      <c r="G80" s="85"/>
      <c r="H80" s="66"/>
      <c r="I80" s="66"/>
      <c r="J80" s="66"/>
      <c r="K80" s="66"/>
    </row>
    <row r="81" spans="1:11" ht="18" customHeight="1" x14ac:dyDescent="0.25">
      <c r="A81" s="80" t="s">
        <v>175</v>
      </c>
      <c r="B81" s="69" t="s">
        <v>91</v>
      </c>
      <c r="C81" s="69" t="s">
        <v>92</v>
      </c>
      <c r="D81" s="70">
        <v>1</v>
      </c>
      <c r="E81" s="71">
        <v>3316</v>
      </c>
      <c r="F81" s="72" t="s">
        <v>93</v>
      </c>
      <c r="G81" s="87" t="s">
        <v>196</v>
      </c>
      <c r="H81" s="66"/>
      <c r="I81" s="66"/>
      <c r="J81" s="66"/>
      <c r="K81" s="66"/>
    </row>
    <row r="82" spans="1:11" ht="18" customHeight="1" x14ac:dyDescent="0.25">
      <c r="A82" s="79" t="s">
        <v>176</v>
      </c>
      <c r="B82" s="62" t="s">
        <v>94</v>
      </c>
      <c r="C82" s="62" t="s">
        <v>87</v>
      </c>
      <c r="D82" s="63">
        <v>2</v>
      </c>
      <c r="E82" s="64">
        <v>3323</v>
      </c>
      <c r="F82" s="65" t="s">
        <v>95</v>
      </c>
      <c r="G82" s="87" t="s">
        <v>198</v>
      </c>
      <c r="H82" s="66"/>
      <c r="I82" s="66"/>
      <c r="J82" s="66"/>
      <c r="K82" s="66"/>
    </row>
    <row r="83" spans="1:11" ht="18" customHeight="1" x14ac:dyDescent="0.25">
      <c r="A83" s="80" t="s">
        <v>177</v>
      </c>
      <c r="B83" s="69" t="s">
        <v>91</v>
      </c>
      <c r="C83" s="69" t="s">
        <v>92</v>
      </c>
      <c r="D83" s="70">
        <v>1</v>
      </c>
      <c r="E83" s="71">
        <v>3316</v>
      </c>
      <c r="F83" s="72" t="s">
        <v>93</v>
      </c>
      <c r="G83" s="87" t="s">
        <v>196</v>
      </c>
      <c r="H83" s="66"/>
      <c r="I83" s="66"/>
      <c r="J83" s="66"/>
      <c r="K83" s="66"/>
    </row>
    <row r="84" spans="1:11" ht="18" customHeight="1" x14ac:dyDescent="0.25">
      <c r="A84" s="80" t="s">
        <v>178</v>
      </c>
      <c r="B84" s="62" t="s">
        <v>96</v>
      </c>
      <c r="C84" s="62" t="s">
        <v>92</v>
      </c>
      <c r="D84" s="63">
        <v>7</v>
      </c>
      <c r="E84" s="64">
        <v>3006</v>
      </c>
      <c r="F84" s="65" t="s">
        <v>97</v>
      </c>
      <c r="G84" s="87" t="s">
        <v>197</v>
      </c>
      <c r="H84" s="66"/>
      <c r="I84" s="66"/>
      <c r="J84" s="66"/>
      <c r="K84" s="66"/>
    </row>
    <row r="85" spans="1:11" ht="18" customHeight="1" x14ac:dyDescent="0.25">
      <c r="A85" s="79" t="s">
        <v>179</v>
      </c>
      <c r="B85" s="69" t="s">
        <v>82</v>
      </c>
      <c r="C85" s="69" t="s">
        <v>83</v>
      </c>
      <c r="D85" s="70">
        <v>9</v>
      </c>
      <c r="E85" s="71">
        <v>3188</v>
      </c>
      <c r="F85" s="72" t="s">
        <v>84</v>
      </c>
      <c r="G85" s="87" t="s">
        <v>202</v>
      </c>
      <c r="H85" s="66"/>
      <c r="I85" s="66"/>
      <c r="J85" s="66"/>
      <c r="K85" s="66"/>
    </row>
    <row r="86" spans="1:11" ht="18" customHeight="1" x14ac:dyDescent="0.25">
      <c r="A86" s="80" t="s">
        <v>180</v>
      </c>
      <c r="B86" s="62" t="s">
        <v>212</v>
      </c>
      <c r="C86" s="62" t="s">
        <v>87</v>
      </c>
      <c r="D86" s="63">
        <v>6</v>
      </c>
      <c r="E86" s="64">
        <v>3321</v>
      </c>
      <c r="F86" s="65" t="s">
        <v>88</v>
      </c>
      <c r="G86" s="86" t="s">
        <v>213</v>
      </c>
      <c r="H86" s="66"/>
      <c r="I86" s="66"/>
      <c r="J86" s="66"/>
      <c r="K86" s="66"/>
    </row>
    <row r="87" spans="1:11" ht="18" customHeight="1" x14ac:dyDescent="0.25">
      <c r="A87" s="80" t="s">
        <v>181</v>
      </c>
      <c r="B87" s="69" t="s">
        <v>212</v>
      </c>
      <c r="C87" s="69" t="s">
        <v>87</v>
      </c>
      <c r="D87" s="70">
        <v>6</v>
      </c>
      <c r="E87" s="71">
        <v>3321</v>
      </c>
      <c r="F87" s="72" t="s">
        <v>88</v>
      </c>
      <c r="G87" s="86" t="s">
        <v>213</v>
      </c>
      <c r="H87" s="66"/>
      <c r="I87" s="66"/>
      <c r="J87" s="66"/>
      <c r="K87" s="66"/>
    </row>
    <row r="88" spans="1:11" ht="18" customHeight="1" x14ac:dyDescent="0.25">
      <c r="A88" s="79" t="s">
        <v>182</v>
      </c>
      <c r="B88" s="62" t="s">
        <v>85</v>
      </c>
      <c r="C88" s="62" t="s">
        <v>80</v>
      </c>
      <c r="D88" s="63">
        <v>5</v>
      </c>
      <c r="E88" s="64">
        <v>3320</v>
      </c>
      <c r="F88" s="65" t="s">
        <v>86</v>
      </c>
      <c r="G88" s="87" t="s">
        <v>199</v>
      </c>
      <c r="H88" s="66"/>
      <c r="I88" s="66"/>
      <c r="J88" s="66"/>
      <c r="K88" s="66"/>
    </row>
    <row r="89" spans="1:11" ht="18" customHeight="1" x14ac:dyDescent="0.25">
      <c r="A89" s="80" t="s">
        <v>183</v>
      </c>
      <c r="B89" s="69" t="s">
        <v>85</v>
      </c>
      <c r="C89" s="69" t="s">
        <v>80</v>
      </c>
      <c r="D89" s="70">
        <v>5</v>
      </c>
      <c r="E89" s="71">
        <v>3320</v>
      </c>
      <c r="F89" s="72" t="s">
        <v>86</v>
      </c>
      <c r="G89" s="87" t="s">
        <v>199</v>
      </c>
      <c r="H89" s="66"/>
      <c r="I89" s="66"/>
      <c r="J89" s="66"/>
      <c r="K89" s="66"/>
    </row>
    <row r="90" spans="1:11" ht="18" customHeight="1" x14ac:dyDescent="0.25">
      <c r="A90" s="80" t="s">
        <v>184</v>
      </c>
      <c r="B90" s="62" t="s">
        <v>96</v>
      </c>
      <c r="C90" s="62" t="s">
        <v>92</v>
      </c>
      <c r="D90" s="63">
        <v>7</v>
      </c>
      <c r="E90" s="64">
        <v>3006</v>
      </c>
      <c r="F90" s="65" t="s">
        <v>97</v>
      </c>
      <c r="G90" s="87" t="s">
        <v>197</v>
      </c>
      <c r="H90" s="66"/>
      <c r="I90" s="66"/>
      <c r="J90" s="66"/>
      <c r="K90" s="66"/>
    </row>
    <row r="91" spans="1:11" ht="18" customHeight="1" x14ac:dyDescent="0.25">
      <c r="A91" s="79" t="s">
        <v>185</v>
      </c>
      <c r="B91" s="69" t="s">
        <v>96</v>
      </c>
      <c r="C91" s="69" t="s">
        <v>92</v>
      </c>
      <c r="D91" s="70">
        <v>7</v>
      </c>
      <c r="E91" s="71">
        <v>3006</v>
      </c>
      <c r="F91" s="72" t="s">
        <v>97</v>
      </c>
      <c r="G91" s="87" t="s">
        <v>197</v>
      </c>
      <c r="H91" s="66"/>
      <c r="I91" s="66"/>
      <c r="J91" s="66"/>
      <c r="K91" s="66"/>
    </row>
    <row r="92" spans="1:11" ht="18" customHeight="1" x14ac:dyDescent="0.25">
      <c r="A92" s="80" t="s">
        <v>186</v>
      </c>
      <c r="B92" s="62" t="s">
        <v>212</v>
      </c>
      <c r="C92" s="62" t="s">
        <v>87</v>
      </c>
      <c r="D92" s="63">
        <v>6</v>
      </c>
      <c r="E92" s="64">
        <v>3321</v>
      </c>
      <c r="F92" s="65" t="s">
        <v>88</v>
      </c>
      <c r="G92" s="86" t="s">
        <v>213</v>
      </c>
      <c r="H92" s="66"/>
      <c r="I92" s="66"/>
      <c r="J92" s="66"/>
      <c r="K92" s="66"/>
    </row>
    <row r="93" spans="1:11" ht="18" customHeight="1" x14ac:dyDescent="0.25">
      <c r="A93" s="80" t="s">
        <v>187</v>
      </c>
      <c r="B93" s="69" t="s">
        <v>89</v>
      </c>
      <c r="C93" s="69" t="s">
        <v>83</v>
      </c>
      <c r="D93" s="70">
        <v>3</v>
      </c>
      <c r="E93" s="71">
        <v>3002</v>
      </c>
      <c r="F93" s="72" t="s">
        <v>90</v>
      </c>
      <c r="G93" s="87" t="s">
        <v>200</v>
      </c>
      <c r="H93" s="66"/>
      <c r="I93" s="66"/>
      <c r="J93" s="66"/>
      <c r="K93" s="66"/>
    </row>
    <row r="94" spans="1:11" ht="18" customHeight="1" x14ac:dyDescent="0.25">
      <c r="A94" s="79" t="s">
        <v>188</v>
      </c>
      <c r="B94" s="62" t="s">
        <v>94</v>
      </c>
      <c r="C94" s="62" t="s">
        <v>87</v>
      </c>
      <c r="D94" s="63">
        <v>2</v>
      </c>
      <c r="E94" s="64">
        <v>3323</v>
      </c>
      <c r="F94" s="65" t="s">
        <v>95</v>
      </c>
      <c r="G94" s="87" t="s">
        <v>198</v>
      </c>
      <c r="H94" s="66"/>
      <c r="I94" s="66"/>
      <c r="J94" s="66"/>
      <c r="K94" s="66"/>
    </row>
    <row r="95" spans="1:11" ht="18" customHeight="1" x14ac:dyDescent="0.25">
      <c r="A95" s="80" t="s">
        <v>189</v>
      </c>
      <c r="B95" s="69" t="s">
        <v>89</v>
      </c>
      <c r="C95" s="69" t="s">
        <v>83</v>
      </c>
      <c r="D95" s="70">
        <v>3</v>
      </c>
      <c r="E95" s="71">
        <v>3002</v>
      </c>
      <c r="F95" s="72" t="s">
        <v>90</v>
      </c>
      <c r="G95" s="87" t="s">
        <v>200</v>
      </c>
      <c r="H95" s="66"/>
      <c r="I95" s="66"/>
      <c r="J95" s="66"/>
      <c r="K95" s="66"/>
    </row>
    <row r="96" spans="1:11" ht="18" customHeight="1" x14ac:dyDescent="0.25">
      <c r="A96" s="80" t="s">
        <v>190</v>
      </c>
      <c r="B96" s="62" t="s">
        <v>94</v>
      </c>
      <c r="C96" s="62" t="s">
        <v>87</v>
      </c>
      <c r="D96" s="63">
        <v>2</v>
      </c>
      <c r="E96" s="64">
        <v>3323</v>
      </c>
      <c r="F96" s="65" t="s">
        <v>95</v>
      </c>
      <c r="G96" s="87" t="s">
        <v>198</v>
      </c>
      <c r="H96" s="66"/>
      <c r="I96" s="66"/>
      <c r="J96" s="66"/>
      <c r="K96" s="66"/>
    </row>
    <row r="97" spans="1:11" ht="18" customHeight="1" x14ac:dyDescent="0.25">
      <c r="A97" s="79" t="s">
        <v>191</v>
      </c>
      <c r="B97" s="69" t="s">
        <v>94</v>
      </c>
      <c r="C97" s="69" t="s">
        <v>87</v>
      </c>
      <c r="D97" s="70">
        <v>2</v>
      </c>
      <c r="E97" s="71">
        <v>3323</v>
      </c>
      <c r="F97" s="72" t="s">
        <v>95</v>
      </c>
      <c r="G97" s="87" t="s">
        <v>198</v>
      </c>
      <c r="H97" s="66"/>
      <c r="I97" s="66"/>
      <c r="J97" s="66"/>
      <c r="K97" s="66"/>
    </row>
    <row r="98" spans="1:11" ht="18" customHeight="1" x14ac:dyDescent="0.25">
      <c r="A98" s="80" t="s">
        <v>192</v>
      </c>
      <c r="B98" s="62" t="s">
        <v>94</v>
      </c>
      <c r="C98" s="62" t="s">
        <v>87</v>
      </c>
      <c r="D98" s="63">
        <v>2</v>
      </c>
      <c r="E98" s="64">
        <v>3323</v>
      </c>
      <c r="F98" s="65" t="s">
        <v>95</v>
      </c>
      <c r="G98" s="87" t="s">
        <v>198</v>
      </c>
      <c r="H98" s="66"/>
      <c r="I98" s="66"/>
      <c r="J98" s="66"/>
      <c r="K98" s="66"/>
    </row>
    <row r="99" spans="1:11" ht="18" customHeight="1" x14ac:dyDescent="0.25">
      <c r="A99" s="80" t="s">
        <v>193</v>
      </c>
      <c r="B99" s="69" t="s">
        <v>94</v>
      </c>
      <c r="C99" s="69" t="s">
        <v>87</v>
      </c>
      <c r="D99" s="70">
        <v>2</v>
      </c>
      <c r="E99" s="71">
        <v>3323</v>
      </c>
      <c r="F99" s="72" t="s">
        <v>95</v>
      </c>
      <c r="G99" s="87" t="s">
        <v>198</v>
      </c>
      <c r="H99" s="66"/>
      <c r="I99" s="66"/>
      <c r="J99" s="66"/>
      <c r="K99" s="66"/>
    </row>
    <row r="100" spans="1:11" ht="18" customHeight="1" x14ac:dyDescent="0.25">
      <c r="A100" s="79" t="s">
        <v>194</v>
      </c>
      <c r="B100" s="62" t="s">
        <v>91</v>
      </c>
      <c r="C100" s="62" t="s">
        <v>92</v>
      </c>
      <c r="D100" s="63">
        <v>1</v>
      </c>
      <c r="E100" s="64">
        <v>3316</v>
      </c>
      <c r="F100" s="65" t="s">
        <v>93</v>
      </c>
      <c r="G100" s="87" t="s">
        <v>196</v>
      </c>
      <c r="H100" s="66"/>
      <c r="I100" s="66"/>
      <c r="J100" s="66"/>
      <c r="K100" s="66"/>
    </row>
    <row r="101" spans="1:11" ht="18" customHeight="1" x14ac:dyDescent="0.25">
      <c r="A101" s="75">
        <v>75001</v>
      </c>
      <c r="B101" s="62" t="s">
        <v>91</v>
      </c>
      <c r="C101" s="62" t="s">
        <v>92</v>
      </c>
      <c r="D101" s="63">
        <v>1</v>
      </c>
      <c r="E101" s="64">
        <v>3316</v>
      </c>
      <c r="F101" s="65" t="s">
        <v>93</v>
      </c>
      <c r="G101" s="87" t="s">
        <v>196</v>
      </c>
      <c r="H101" s="68"/>
      <c r="I101" s="68"/>
      <c r="J101" s="68"/>
      <c r="K101" s="68"/>
    </row>
    <row r="102" spans="1:11" ht="18" customHeight="1" x14ac:dyDescent="0.25">
      <c r="A102" s="75">
        <v>75002</v>
      </c>
      <c r="B102" s="62" t="s">
        <v>91</v>
      </c>
      <c r="C102" s="62" t="s">
        <v>92</v>
      </c>
      <c r="D102" s="63">
        <v>1</v>
      </c>
      <c r="E102" s="64">
        <v>3316</v>
      </c>
      <c r="F102" s="65" t="s">
        <v>93</v>
      </c>
      <c r="G102" s="87" t="s">
        <v>196</v>
      </c>
      <c r="H102" s="68"/>
      <c r="I102" s="68"/>
      <c r="J102" s="68"/>
      <c r="K102" s="68"/>
    </row>
    <row r="103" spans="1:11" ht="18" customHeight="1" x14ac:dyDescent="0.25">
      <c r="A103" s="75">
        <v>75003</v>
      </c>
      <c r="B103" s="62" t="s">
        <v>91</v>
      </c>
      <c r="C103" s="62" t="s">
        <v>92</v>
      </c>
      <c r="D103" s="63">
        <v>1</v>
      </c>
      <c r="E103" s="64">
        <v>3316</v>
      </c>
      <c r="F103" s="65" t="s">
        <v>93</v>
      </c>
      <c r="G103" s="87" t="s">
        <v>196</v>
      </c>
    </row>
    <row r="104" spans="1:11" ht="18" customHeight="1" x14ac:dyDescent="0.25">
      <c r="A104" s="75">
        <v>75004</v>
      </c>
      <c r="B104" s="62" t="s">
        <v>91</v>
      </c>
      <c r="C104" s="62" t="s">
        <v>92</v>
      </c>
      <c r="D104" s="63">
        <v>1</v>
      </c>
      <c r="E104" s="64">
        <v>3316</v>
      </c>
      <c r="F104" s="65" t="s">
        <v>93</v>
      </c>
      <c r="G104" s="87" t="s">
        <v>196</v>
      </c>
    </row>
    <row r="105" spans="1:11" ht="18" customHeight="1" x14ac:dyDescent="0.25">
      <c r="A105" s="75">
        <v>75005</v>
      </c>
      <c r="B105" s="62" t="s">
        <v>91</v>
      </c>
      <c r="C105" s="62" t="s">
        <v>92</v>
      </c>
      <c r="D105" s="63">
        <v>1</v>
      </c>
      <c r="E105" s="64">
        <v>3316</v>
      </c>
      <c r="F105" s="65" t="s">
        <v>93</v>
      </c>
      <c r="G105" s="87" t="s">
        <v>196</v>
      </c>
    </row>
    <row r="106" spans="1:11" ht="18" customHeight="1" x14ac:dyDescent="0.25">
      <c r="A106" s="75">
        <v>75006</v>
      </c>
      <c r="B106" s="62" t="s">
        <v>91</v>
      </c>
      <c r="C106" s="62" t="s">
        <v>92</v>
      </c>
      <c r="D106" s="63">
        <v>1</v>
      </c>
      <c r="E106" s="64">
        <v>3316</v>
      </c>
      <c r="F106" s="65" t="s">
        <v>93</v>
      </c>
      <c r="G106" s="87" t="s">
        <v>196</v>
      </c>
    </row>
    <row r="107" spans="1:11" ht="18" customHeight="1" x14ac:dyDescent="0.25">
      <c r="A107" s="75">
        <v>75007</v>
      </c>
      <c r="B107" s="62" t="s">
        <v>91</v>
      </c>
      <c r="C107" s="62" t="s">
        <v>92</v>
      </c>
      <c r="D107" s="63">
        <v>1</v>
      </c>
      <c r="E107" s="64">
        <v>3316</v>
      </c>
      <c r="F107" s="65" t="s">
        <v>93</v>
      </c>
      <c r="G107" s="87" t="s">
        <v>196</v>
      </c>
    </row>
    <row r="108" spans="1:11" ht="18" customHeight="1" x14ac:dyDescent="0.25">
      <c r="A108" s="75">
        <v>75008</v>
      </c>
      <c r="B108" s="62" t="s">
        <v>91</v>
      </c>
      <c r="C108" s="62" t="s">
        <v>92</v>
      </c>
      <c r="D108" s="63">
        <v>1</v>
      </c>
      <c r="E108" s="64">
        <v>3316</v>
      </c>
      <c r="F108" s="65" t="s">
        <v>93</v>
      </c>
      <c r="G108" s="87" t="s">
        <v>196</v>
      </c>
    </row>
    <row r="109" spans="1:11" ht="18" customHeight="1" x14ac:dyDescent="0.25">
      <c r="A109" s="75">
        <v>75009</v>
      </c>
      <c r="B109" s="62" t="s">
        <v>91</v>
      </c>
      <c r="C109" s="62" t="s">
        <v>92</v>
      </c>
      <c r="D109" s="63">
        <v>1</v>
      </c>
      <c r="E109" s="64">
        <v>3316</v>
      </c>
      <c r="F109" s="65" t="s">
        <v>93</v>
      </c>
      <c r="G109" s="87" t="s">
        <v>196</v>
      </c>
    </row>
    <row r="110" spans="1:11" ht="18" customHeight="1" x14ac:dyDescent="0.25">
      <c r="A110" s="75">
        <v>75010</v>
      </c>
      <c r="B110" s="62" t="s">
        <v>91</v>
      </c>
      <c r="C110" s="62" t="s">
        <v>92</v>
      </c>
      <c r="D110" s="63">
        <v>1</v>
      </c>
      <c r="E110" s="64">
        <v>3316</v>
      </c>
      <c r="F110" s="65" t="s">
        <v>93</v>
      </c>
      <c r="G110" s="87" t="s">
        <v>196</v>
      </c>
    </row>
    <row r="111" spans="1:11" ht="18" customHeight="1" x14ac:dyDescent="0.25">
      <c r="A111" s="75">
        <v>75011</v>
      </c>
      <c r="B111" s="62" t="s">
        <v>91</v>
      </c>
      <c r="C111" s="62" t="s">
        <v>92</v>
      </c>
      <c r="D111" s="63">
        <v>1</v>
      </c>
      <c r="E111" s="64">
        <v>3316</v>
      </c>
      <c r="F111" s="65" t="s">
        <v>93</v>
      </c>
      <c r="G111" s="87" t="s">
        <v>196</v>
      </c>
    </row>
    <row r="112" spans="1:11" ht="18" customHeight="1" x14ac:dyDescent="0.25">
      <c r="A112" s="75">
        <v>75012</v>
      </c>
      <c r="B112" s="62" t="s">
        <v>91</v>
      </c>
      <c r="C112" s="62" t="s">
        <v>92</v>
      </c>
      <c r="D112" s="63">
        <v>1</v>
      </c>
      <c r="E112" s="64">
        <v>3316</v>
      </c>
      <c r="F112" s="65" t="s">
        <v>93</v>
      </c>
      <c r="G112" s="87" t="s">
        <v>196</v>
      </c>
    </row>
    <row r="113" spans="1:7" ht="18" customHeight="1" x14ac:dyDescent="0.25">
      <c r="A113" s="75">
        <v>75013</v>
      </c>
      <c r="B113" s="62" t="s">
        <v>91</v>
      </c>
      <c r="C113" s="62" t="s">
        <v>92</v>
      </c>
      <c r="D113" s="63">
        <v>1</v>
      </c>
      <c r="E113" s="64">
        <v>3316</v>
      </c>
      <c r="F113" s="65" t="s">
        <v>93</v>
      </c>
      <c r="G113" s="87" t="s">
        <v>196</v>
      </c>
    </row>
    <row r="114" spans="1:7" ht="18" customHeight="1" x14ac:dyDescent="0.25">
      <c r="A114" s="75">
        <v>75014</v>
      </c>
      <c r="B114" s="62" t="s">
        <v>91</v>
      </c>
      <c r="C114" s="62" t="s">
        <v>92</v>
      </c>
      <c r="D114" s="63">
        <v>1</v>
      </c>
      <c r="E114" s="64">
        <v>3316</v>
      </c>
      <c r="F114" s="65" t="s">
        <v>93</v>
      </c>
      <c r="G114" s="87" t="s">
        <v>196</v>
      </c>
    </row>
    <row r="115" spans="1:7" ht="18" customHeight="1" x14ac:dyDescent="0.25">
      <c r="A115" s="75">
        <v>75015</v>
      </c>
      <c r="B115" s="62" t="s">
        <v>91</v>
      </c>
      <c r="C115" s="62" t="s">
        <v>92</v>
      </c>
      <c r="D115" s="63">
        <v>1</v>
      </c>
      <c r="E115" s="64">
        <v>3316</v>
      </c>
      <c r="F115" s="65" t="s">
        <v>93</v>
      </c>
      <c r="G115" s="87" t="s">
        <v>196</v>
      </c>
    </row>
    <row r="116" spans="1:7" ht="18" customHeight="1" x14ac:dyDescent="0.25">
      <c r="A116" s="75">
        <v>75016</v>
      </c>
      <c r="B116" s="62" t="s">
        <v>91</v>
      </c>
      <c r="C116" s="62" t="s">
        <v>92</v>
      </c>
      <c r="D116" s="63">
        <v>1</v>
      </c>
      <c r="E116" s="64">
        <v>3316</v>
      </c>
      <c r="F116" s="65" t="s">
        <v>93</v>
      </c>
      <c r="G116" s="87" t="s">
        <v>196</v>
      </c>
    </row>
    <row r="117" spans="1:7" ht="18" customHeight="1" x14ac:dyDescent="0.25">
      <c r="A117" s="75">
        <v>75017</v>
      </c>
      <c r="B117" s="62" t="s">
        <v>91</v>
      </c>
      <c r="C117" s="62" t="s">
        <v>92</v>
      </c>
      <c r="D117" s="63">
        <v>1</v>
      </c>
      <c r="E117" s="64">
        <v>3316</v>
      </c>
      <c r="F117" s="65" t="s">
        <v>93</v>
      </c>
      <c r="G117" s="87" t="s">
        <v>196</v>
      </c>
    </row>
    <row r="118" spans="1:7" ht="18" customHeight="1" x14ac:dyDescent="0.25">
      <c r="A118" s="75">
        <v>75018</v>
      </c>
      <c r="B118" s="62" t="s">
        <v>91</v>
      </c>
      <c r="C118" s="62" t="s">
        <v>92</v>
      </c>
      <c r="D118" s="63">
        <v>1</v>
      </c>
      <c r="E118" s="64">
        <v>3316</v>
      </c>
      <c r="F118" s="65" t="s">
        <v>93</v>
      </c>
      <c r="G118" s="87" t="s">
        <v>196</v>
      </c>
    </row>
    <row r="119" spans="1:7" ht="18" customHeight="1" x14ac:dyDescent="0.25">
      <c r="A119" s="75">
        <v>75019</v>
      </c>
      <c r="B119" s="62" t="s">
        <v>91</v>
      </c>
      <c r="C119" s="62" t="s">
        <v>92</v>
      </c>
      <c r="D119" s="63">
        <v>1</v>
      </c>
      <c r="E119" s="64">
        <v>3316</v>
      </c>
      <c r="F119" s="65" t="s">
        <v>93</v>
      </c>
      <c r="G119" s="87" t="s">
        <v>196</v>
      </c>
    </row>
    <row r="120" spans="1:7" ht="18" customHeight="1" x14ac:dyDescent="0.25">
      <c r="A120" s="75">
        <v>75020</v>
      </c>
      <c r="B120" s="62" t="s">
        <v>94</v>
      </c>
      <c r="C120" s="62" t="s">
        <v>87</v>
      </c>
      <c r="D120" s="63">
        <v>2</v>
      </c>
      <c r="E120" s="64">
        <v>3323</v>
      </c>
      <c r="F120" s="65" t="s">
        <v>95</v>
      </c>
      <c r="G120" s="87" t="s">
        <v>198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2023-01-18T14:30:06Z</cp:lastPrinted>
  <dcterms:created xsi:type="dcterms:W3CDTF">2022-05-09T12:46:35Z</dcterms:created>
  <dcterms:modified xsi:type="dcterms:W3CDTF">2023-01-18T14:31:56Z</dcterms:modified>
</cp:coreProperties>
</file>